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-510\Documents\GitHub\guhungry\Excel\MyPortfolioPerformance\Template\"/>
    </mc:Choice>
  </mc:AlternateContent>
  <bookViews>
    <workbookView xWindow="0" yWindow="0" windowWidth="16395" windowHeight="6450" activeTab="2"/>
  </bookViews>
  <sheets>
    <sheet name="Data" sheetId="1" r:id="rId1"/>
    <sheet name="Transaction" sheetId="3" r:id="rId2"/>
    <sheet name="NAV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F2" i="4" l="1"/>
  <c r="I2" i="4" a="1"/>
  <c r="I2" i="4" s="1"/>
  <c r="G2" i="1"/>
  <c r="G2" i="4" l="1"/>
  <c r="H2" i="4"/>
  <c r="B2" i="4" l="1"/>
  <c r="D2" i="4" l="1"/>
  <c r="C2" i="4"/>
  <c r="F2" i="1" l="1"/>
</calcChain>
</file>

<file path=xl/sharedStrings.xml><?xml version="1.0" encoding="utf-8"?>
<sst xmlns="http://schemas.openxmlformats.org/spreadsheetml/2006/main" count="20" uniqueCount="17">
  <si>
    <t>Date</t>
  </si>
  <si>
    <t>Capital</t>
  </si>
  <si>
    <t>Portfolio</t>
  </si>
  <si>
    <t>SET Index</t>
  </si>
  <si>
    <t>Cash</t>
  </si>
  <si>
    <t>Profit</t>
  </si>
  <si>
    <t>Stock</t>
  </si>
  <si>
    <t>ธนาคาร/สถาบันการเงิน</t>
  </si>
  <si>
    <t>วันที่</t>
  </si>
  <si>
    <t>รายการบันทึก</t>
  </si>
  <si>
    <t>จำนวนเงิน</t>
  </si>
  <si>
    <t>Total</t>
  </si>
  <si>
    <t>Diff</t>
  </si>
  <si>
    <t>NAV</t>
  </si>
  <si>
    <t>Transaction</t>
  </si>
  <si>
    <t>Units</t>
  </si>
  <si>
    <t>LastTradingDay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</si>
</sst>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yyyy\-mm\-dd;@"/>
    <numFmt numFmtId="165" formatCode="0.000000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indexed="8"/>
      <name val="Tahoma"/>
      <family val="2"/>
      <charset val="222"/>
    </font>
    <font>
      <u/>
      <sz val="11"/>
      <color theme="10"/>
      <name val="Tahoma"/>
      <family val="2"/>
      <charset val="222"/>
    </font>
    <font>
      <b/>
      <sz val="10"/>
      <name val="Tahoma"/>
      <family val="2"/>
    </font>
    <font>
      <u/>
      <sz val="11"/>
      <color theme="10"/>
      <name val="Calibri"/>
      <family val="2"/>
      <charset val="22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53"/>
      </left>
      <right style="thin">
        <color indexed="53"/>
      </right>
      <top/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164" fontId="0" fillId="0" borderId="0" xfId="0" applyNumberFormat="1"/>
    <xf numFmtId="4" fontId="0" fillId="0" borderId="0" xfId="0" applyNumberFormat="1"/>
    <xf numFmtId="4" fontId="0" fillId="0" borderId="0" xfId="0" applyNumberFormat="1" applyAlignment="1">
      <alignment wrapText="1"/>
    </xf>
    <xf numFmtId="0" fontId="4" fillId="2" borderId="1" xfId="1" applyFont="1" applyFill="1" applyBorder="1" applyAlignment="1" applyProtection="1">
      <alignment horizontal="center" vertical="center"/>
    </xf>
    <xf numFmtId="164" fontId="4" fillId="2" borderId="1" xfId="1" applyNumberFormat="1" applyFont="1" applyFill="1" applyBorder="1" applyAlignment="1" applyProtection="1">
      <alignment horizontal="center" vertical="center"/>
    </xf>
    <xf numFmtId="164" fontId="4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/>
    <xf numFmtId="164" fontId="0" fillId="0" borderId="0" xfId="0" applyNumberFormat="1"/>
    <xf numFmtId="165" fontId="0" fillId="0" borderId="0" xfId="0" applyNumberFormat="1"/>
    <xf numFmtId="164" fontId="0" fillId="0" borderId="0" xfId="0" applyNumberFormat="1"/>
    <xf numFmtId="4" fontId="0" fillId="0" borderId="0" xfId="0" applyNumberFormat="1"/>
  </cellXfs>
  <cellStyles count="8">
    <cellStyle name="Comma 2" xfId="4"/>
    <cellStyle name="Comma 3" xfId="2"/>
    <cellStyle name="Hyperlink 2" xfId="5"/>
    <cellStyle name="Hyperlink 3" xfId="7"/>
    <cellStyle name="Normal" xfId="0" builtinId="0"/>
    <cellStyle name="Normal 2" xfId="1"/>
    <cellStyle name="Percent 2" xfId="6"/>
    <cellStyle name="Percent 3" xfId="3"/>
  </cellStyles>
  <dxfs count="8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yyyy\-mm\-dd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Date</c:v>
                </c:pt>
              </c:strCache>
            </c:strRef>
          </c:tx>
          <c:marker>
            <c:symbol val="none"/>
          </c:marker>
          <c:val>
            <c:numRef>
              <c:f>Data!$A$2</c:f>
              <c:numCache>
                <c:formatCode>yyyy\-mm\-dd;@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Data!$B$1</c:f>
              <c:strCache>
                <c:ptCount val="1"/>
                <c:pt idx="0">
                  <c:v>Capital</c:v>
                </c:pt>
              </c:strCache>
            </c:strRef>
          </c:tx>
          <c:marker>
            <c:symbol val="none"/>
          </c:marker>
          <c:val>
            <c:numRef>
              <c:f>Data!$B$2</c:f>
              <c:numCache>
                <c:formatCode>#,##0.00</c:formatCode>
                <c:ptCount val="1"/>
              </c:numCache>
            </c:numRef>
          </c:val>
          <c:smooth val="0"/>
        </c:ser>
        <c:ser>
          <c:idx val="3"/>
          <c:order val="3"/>
          <c:tx>
            <c:strRef>
              <c:f>Data!$D$1</c:f>
              <c:strCache>
                <c:ptCount val="1"/>
                <c:pt idx="0">
                  <c:v>SET Index</c:v>
                </c:pt>
              </c:strCache>
            </c:strRef>
          </c:tx>
          <c:marker>
            <c:symbol val="none"/>
          </c:marker>
          <c:val>
            <c:numRef>
              <c:f>Data!$D$2</c:f>
              <c:numCache>
                <c:formatCode>#,##0.00</c:formatCode>
                <c:ptCount val="1"/>
              </c:numCache>
            </c:numRef>
          </c:val>
          <c:smooth val="0"/>
        </c:ser>
        <c:ser>
          <c:idx val="4"/>
          <c:order val="4"/>
          <c:tx>
            <c:strRef>
              <c:f>Data!$E$1</c:f>
              <c:strCache>
                <c:ptCount val="1"/>
                <c:pt idx="0">
                  <c:v>Cash</c:v>
                </c:pt>
              </c:strCache>
            </c:strRef>
          </c:tx>
          <c:marker>
            <c:symbol val="none"/>
          </c:marker>
          <c:val>
            <c:numRef>
              <c:f>Data!$E$2</c:f>
              <c:numCache>
                <c:formatCode>#,##0.00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685440"/>
        <c:axId val="260683872"/>
      </c:lineChart>
      <c:lineChart>
        <c:grouping val="standard"/>
        <c:varyColors val="0"/>
        <c:ser>
          <c:idx val="2"/>
          <c:order val="2"/>
          <c:tx>
            <c:strRef>
              <c:f>Data!$C$1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val>
            <c:numRef>
              <c:f>Data!$C$2</c:f>
              <c:numCache>
                <c:formatCode>#,##0.00</c:formatCode>
                <c:ptCount val="1"/>
              </c:numCache>
            </c:numRef>
          </c:val>
          <c:smooth val="0"/>
        </c:ser>
        <c:ser>
          <c:idx val="5"/>
          <c:order val="5"/>
          <c:tx>
            <c:strRef>
              <c:f>Data!$F$1</c:f>
              <c:strCache>
                <c:ptCount val="1"/>
                <c:pt idx="0">
                  <c:v>Profit</c:v>
                </c:pt>
              </c:strCache>
            </c:strRef>
          </c:tx>
          <c:marker>
            <c:symbol val="none"/>
          </c:marker>
          <c:val>
            <c:numRef>
              <c:f>Data!$F$2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684264"/>
        <c:axId val="260688184"/>
      </c:lineChart>
      <c:catAx>
        <c:axId val="260685440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crossAx val="260683872"/>
        <c:crosses val="autoZero"/>
        <c:auto val="1"/>
        <c:lblAlgn val="ctr"/>
        <c:lblOffset val="100"/>
        <c:noMultiLvlLbl val="1"/>
      </c:catAx>
      <c:valAx>
        <c:axId val="26068387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60685440"/>
        <c:crosses val="autoZero"/>
        <c:crossBetween val="between"/>
      </c:valAx>
      <c:valAx>
        <c:axId val="26068818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crossAx val="260684264"/>
        <c:crosses val="max"/>
        <c:crossBetween val="between"/>
      </c:valAx>
      <c:catAx>
        <c:axId val="260684264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260688184"/>
        <c:crosses val="autoZero"/>
        <c:auto val="1"/>
        <c:lblAlgn val="ctr"/>
        <c:lblOffset val="100"/>
        <c:tickLblSkip val="1"/>
        <c:tickMarkSkip val="1"/>
        <c:noMultiLvlLbl val="1"/>
      </c:catAx>
    </c:plotArea>
    <c:legend>
      <c:legendPos val="t"/>
      <c:layout/>
      <c:overlay val="1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53</xdr:col>
      <xdr:colOff>9525</xdr:colOff>
      <xdr:row>37</xdr:row>
      <xdr:rowOff>171450</xdr:rowOff>
    </xdr:to>
    <xdr:graphicFrame macro="">
      <xdr:nvGraphicFramePr>
        <xdr:cNvPr id="3" name="ChartPerformanc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8</xdr:col>
          <xdr:colOff>600075</xdr:colOff>
          <xdr:row>40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1</xdr:row>
          <xdr:rowOff>9525</xdr:rowOff>
        </xdr:from>
        <xdr:to>
          <xdr:col>7</xdr:col>
          <xdr:colOff>9525</xdr:colOff>
          <xdr:row>2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NAV Generator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G2" totalsRowShown="0" headerRowDxfId="0">
  <autoFilter ref="A1:G2"/>
  <tableColumns count="7">
    <tableColumn id="1" name="Date" dataDxfId="7"/>
    <tableColumn id="2" name="Capital" dataDxfId="6"/>
    <tableColumn id="3" name="Portfolio" dataDxfId="5"/>
    <tableColumn id="4" name="SET Index" dataDxfId="4"/>
    <tableColumn id="5" name="Cash" dataDxfId="3"/>
    <tableColumn id="6" name="Profit" dataDxfId="2">
      <calculatedColumnFormula>C2-B2</calculatedColumnFormula>
    </tableColumn>
    <tableColumn id="7" name="Stock" dataDxfId="1">
      <calculatedColumnFormula>C2-E2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ta"/>
  <dimension ref="A1:J1017"/>
  <sheetViews>
    <sheetView workbookViewId="0">
      <selection activeCell="A2" sqref="A2"/>
    </sheetView>
  </sheetViews>
  <sheetFormatPr defaultRowHeight="15"/>
  <cols>
    <col min="1" max="1" width="10.42578125" style="1" bestFit="1" customWidth="1"/>
    <col min="2" max="2" width="10.140625" style="2" bestFit="1" customWidth="1"/>
    <col min="3" max="3" width="11.7109375" style="2" bestFit="1" customWidth="1"/>
    <col min="4" max="4" width="11.5703125" style="2" customWidth="1"/>
    <col min="5" max="5" width="10.140625" style="2" bestFit="1" customWidth="1"/>
    <col min="6" max="6" width="10.85546875" style="2" bestFit="1" customWidth="1"/>
    <col min="7" max="7" width="11.7109375" style="2" bestFit="1" customWidth="1"/>
    <col min="8" max="8" width="10.140625" bestFit="1" customWidth="1"/>
  </cols>
  <sheetData>
    <row r="1" spans="1:7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F2" s="2">
        <f>C2-B2</f>
        <v>0</v>
      </c>
      <c r="G2" s="2">
        <f>C2-E2</f>
        <v>0</v>
      </c>
    </row>
    <row r="77" spans="8:8">
      <c r="H77" s="2"/>
    </row>
    <row r="78" spans="8:8">
      <c r="H78" s="2"/>
    </row>
    <row r="79" spans="8:8">
      <c r="H79" s="2"/>
    </row>
    <row r="80" spans="8:8">
      <c r="H80" s="2"/>
    </row>
    <row r="81" spans="8:8">
      <c r="H81" s="2"/>
    </row>
    <row r="82" spans="8:8">
      <c r="H82" s="2"/>
    </row>
    <row r="83" spans="8:8">
      <c r="H83" s="2"/>
    </row>
    <row r="84" spans="8:8">
      <c r="H84" s="2"/>
    </row>
    <row r="85" spans="8:8">
      <c r="H85" s="2"/>
    </row>
    <row r="86" spans="8:8">
      <c r="H86" s="2"/>
    </row>
    <row r="87" spans="8:8">
      <c r="H87" s="2"/>
    </row>
    <row r="88" spans="8:8">
      <c r="H88" s="2"/>
    </row>
    <row r="89" spans="8:8">
      <c r="H89" s="2"/>
    </row>
    <row r="90" spans="8:8">
      <c r="H90" s="2"/>
    </row>
    <row r="91" spans="8:8">
      <c r="H91" s="2"/>
    </row>
    <row r="92" spans="8:8">
      <c r="H92" s="2"/>
    </row>
    <row r="93" spans="8:8">
      <c r="H93" s="2"/>
    </row>
    <row r="94" spans="8:8">
      <c r="H94" s="2"/>
    </row>
    <row r="95" spans="8:8">
      <c r="H95" s="2"/>
    </row>
    <row r="96" spans="8:8">
      <c r="H96" s="2"/>
    </row>
    <row r="97" spans="8:8">
      <c r="H97" s="2"/>
    </row>
    <row r="98" spans="8:8">
      <c r="H98" s="2"/>
    </row>
    <row r="99" spans="8:8">
      <c r="H99" s="2"/>
    </row>
    <row r="100" spans="8:8">
      <c r="H100" s="2"/>
    </row>
    <row r="101" spans="8:8">
      <c r="H101" s="2"/>
    </row>
    <row r="102" spans="8:8">
      <c r="H102" s="2"/>
    </row>
    <row r="103" spans="8:8">
      <c r="H103" s="2"/>
    </row>
    <row r="104" spans="8:8">
      <c r="H104" s="2"/>
    </row>
    <row r="105" spans="8:8">
      <c r="H105" s="2"/>
    </row>
    <row r="106" spans="8:8">
      <c r="H106" s="2"/>
    </row>
    <row r="107" spans="8:8">
      <c r="H107" s="2"/>
    </row>
    <row r="108" spans="8:8">
      <c r="H108" s="2"/>
    </row>
    <row r="109" spans="8:8">
      <c r="H109" s="2"/>
    </row>
    <row r="110" spans="8:8">
      <c r="H110" s="2"/>
    </row>
    <row r="111" spans="8:8">
      <c r="H111" s="2"/>
    </row>
    <row r="112" spans="8:8">
      <c r="H112" s="2"/>
    </row>
    <row r="113" spans="8:8">
      <c r="H113" s="2"/>
    </row>
    <row r="114" spans="8:8">
      <c r="H114" s="2"/>
    </row>
    <row r="115" spans="8:8">
      <c r="H115" s="2"/>
    </row>
    <row r="116" spans="8:8">
      <c r="H116" s="2"/>
    </row>
    <row r="117" spans="8:8">
      <c r="H117" s="2"/>
    </row>
    <row r="118" spans="8:8">
      <c r="H118" s="2"/>
    </row>
    <row r="119" spans="8:8">
      <c r="H119" s="2"/>
    </row>
    <row r="120" spans="8:8">
      <c r="H120" s="2"/>
    </row>
    <row r="121" spans="8:8">
      <c r="H121" s="2"/>
    </row>
    <row r="122" spans="8:8">
      <c r="H122" s="2"/>
    </row>
    <row r="123" spans="8:8">
      <c r="H123" s="2"/>
    </row>
    <row r="124" spans="8:8">
      <c r="H124" s="2"/>
    </row>
    <row r="125" spans="8:8">
      <c r="H125" s="2"/>
    </row>
    <row r="126" spans="8:8">
      <c r="H126" s="2"/>
    </row>
    <row r="127" spans="8:8">
      <c r="H127" s="2"/>
    </row>
    <row r="128" spans="8:8">
      <c r="H128" s="2"/>
    </row>
    <row r="129" spans="8:8">
      <c r="H129" s="2"/>
    </row>
    <row r="130" spans="8:8">
      <c r="H130" s="2"/>
    </row>
    <row r="131" spans="8:8">
      <c r="H131" s="2"/>
    </row>
    <row r="132" spans="8:8">
      <c r="H132" s="2"/>
    </row>
    <row r="133" spans="8:8">
      <c r="H133" s="2"/>
    </row>
    <row r="134" spans="8:8">
      <c r="H134" s="2"/>
    </row>
    <row r="135" spans="8:8">
      <c r="H135" s="2"/>
    </row>
    <row r="136" spans="8:8">
      <c r="H136" s="2"/>
    </row>
    <row r="137" spans="8:8">
      <c r="H137" s="2"/>
    </row>
    <row r="138" spans="8:8">
      <c r="H138" s="2"/>
    </row>
    <row r="139" spans="8:8">
      <c r="H139" s="2"/>
    </row>
    <row r="140" spans="8:8">
      <c r="H140" s="2"/>
    </row>
    <row r="141" spans="8:8">
      <c r="H141" s="2"/>
    </row>
    <row r="142" spans="8:8">
      <c r="H142" s="2"/>
    </row>
    <row r="143" spans="8:8">
      <c r="H143" s="2"/>
    </row>
    <row r="144" spans="8:8">
      <c r="H144" s="2"/>
    </row>
    <row r="145" spans="8:8">
      <c r="H145" s="2"/>
    </row>
    <row r="146" spans="8:8">
      <c r="H146" s="2"/>
    </row>
    <row r="147" spans="8:8">
      <c r="H147" s="2"/>
    </row>
    <row r="148" spans="8:8">
      <c r="H148" s="2"/>
    </row>
    <row r="149" spans="8:8">
      <c r="H149" s="2"/>
    </row>
    <row r="150" spans="8:8">
      <c r="H150" s="2"/>
    </row>
    <row r="151" spans="8:8">
      <c r="H151" s="2"/>
    </row>
    <row r="152" spans="8:8">
      <c r="H152" s="2"/>
    </row>
    <row r="153" spans="8:8">
      <c r="H153" s="2"/>
    </row>
    <row r="154" spans="8:8">
      <c r="H154" s="2"/>
    </row>
    <row r="155" spans="8:8">
      <c r="H155" s="2"/>
    </row>
    <row r="156" spans="8:8">
      <c r="H156" s="2"/>
    </row>
    <row r="157" spans="8:8">
      <c r="H157" s="2"/>
    </row>
    <row r="158" spans="8:8">
      <c r="H158" s="2"/>
    </row>
    <row r="159" spans="8:8">
      <c r="H159" s="2"/>
    </row>
    <row r="160" spans="8:8">
      <c r="H160" s="2"/>
    </row>
    <row r="161" spans="8:8">
      <c r="H161" s="2"/>
    </row>
    <row r="162" spans="8:8">
      <c r="H162" s="2"/>
    </row>
    <row r="163" spans="8:8">
      <c r="H163" s="2"/>
    </row>
    <row r="164" spans="8:8">
      <c r="H164" s="2"/>
    </row>
    <row r="165" spans="8:8">
      <c r="H165" s="2"/>
    </row>
    <row r="166" spans="8:8">
      <c r="H166" s="2"/>
    </row>
    <row r="167" spans="8:8">
      <c r="H167" s="2"/>
    </row>
    <row r="168" spans="8:8">
      <c r="H168" s="2"/>
    </row>
    <row r="169" spans="8:8">
      <c r="H169" s="2"/>
    </row>
    <row r="170" spans="8:8">
      <c r="H170" s="2"/>
    </row>
    <row r="171" spans="8:8">
      <c r="H171" s="2"/>
    </row>
    <row r="172" spans="8:8">
      <c r="H172" s="2"/>
    </row>
    <row r="173" spans="8:8">
      <c r="H173" s="2"/>
    </row>
    <row r="174" spans="8:8">
      <c r="H174" s="2"/>
    </row>
    <row r="175" spans="8:8">
      <c r="H175" s="2"/>
    </row>
    <row r="176" spans="8:8">
      <c r="H176" s="2"/>
    </row>
    <row r="177" spans="8:8">
      <c r="H177" s="2"/>
    </row>
    <row r="178" spans="8:8">
      <c r="H178" s="2"/>
    </row>
    <row r="179" spans="8:8">
      <c r="H179" s="2"/>
    </row>
    <row r="180" spans="8:8">
      <c r="H180" s="2"/>
    </row>
    <row r="181" spans="8:8">
      <c r="H181" s="2"/>
    </row>
    <row r="182" spans="8:8">
      <c r="H182" s="2"/>
    </row>
    <row r="183" spans="8:8">
      <c r="H183" s="2"/>
    </row>
    <row r="184" spans="8:8">
      <c r="H184" s="2"/>
    </row>
    <row r="185" spans="8:8">
      <c r="H185" s="2"/>
    </row>
    <row r="186" spans="8:8">
      <c r="H186" s="2"/>
    </row>
    <row r="187" spans="8:8">
      <c r="H187" s="2"/>
    </row>
    <row r="188" spans="8:8">
      <c r="H188" s="2"/>
    </row>
    <row r="189" spans="8:8">
      <c r="H189" s="2"/>
    </row>
    <row r="190" spans="8:8">
      <c r="H190" s="2"/>
    </row>
    <row r="191" spans="8:8">
      <c r="H191" s="2"/>
    </row>
    <row r="192" spans="8:8">
      <c r="H192" s="2"/>
    </row>
    <row r="193" spans="8:8">
      <c r="H193" s="2"/>
    </row>
    <row r="194" spans="8:8">
      <c r="H194" s="2"/>
    </row>
    <row r="195" spans="8:8">
      <c r="H195" s="2"/>
    </row>
    <row r="196" spans="8:8">
      <c r="H196" s="2"/>
    </row>
    <row r="197" spans="8:8">
      <c r="H197" s="2"/>
    </row>
    <row r="198" spans="8:8">
      <c r="H198" s="2"/>
    </row>
    <row r="199" spans="8:8">
      <c r="H199" s="2"/>
    </row>
    <row r="200" spans="8:8">
      <c r="H200" s="2"/>
    </row>
    <row r="201" spans="8:8">
      <c r="H201" s="2"/>
    </row>
    <row r="202" spans="8:8">
      <c r="H202" s="2"/>
    </row>
    <row r="203" spans="8:8">
      <c r="H203" s="2"/>
    </row>
    <row r="204" spans="8:8">
      <c r="H204" s="2"/>
    </row>
    <row r="205" spans="8:8">
      <c r="H205" s="2"/>
    </row>
    <row r="206" spans="8:8">
      <c r="H206" s="2"/>
    </row>
    <row r="207" spans="8:8">
      <c r="H207" s="2"/>
    </row>
    <row r="208" spans="8:8">
      <c r="H208" s="2"/>
    </row>
    <row r="209" spans="8:8">
      <c r="H209" s="2"/>
    </row>
    <row r="210" spans="8:8">
      <c r="H210" s="2"/>
    </row>
    <row r="211" spans="8:8">
      <c r="H211" s="2"/>
    </row>
    <row r="212" spans="8:8">
      <c r="H212" s="2"/>
    </row>
    <row r="213" spans="8:8">
      <c r="H213" s="2"/>
    </row>
    <row r="214" spans="8:8">
      <c r="H214" s="2"/>
    </row>
    <row r="215" spans="8:8">
      <c r="H215" s="2"/>
    </row>
    <row r="216" spans="8:8">
      <c r="H216" s="2"/>
    </row>
    <row r="217" spans="8:8">
      <c r="H217" s="2"/>
    </row>
    <row r="218" spans="8:8">
      <c r="H218" s="2"/>
    </row>
    <row r="219" spans="8:8">
      <c r="H219" s="2"/>
    </row>
    <row r="220" spans="8:8">
      <c r="H220" s="2"/>
    </row>
    <row r="221" spans="8:8">
      <c r="H221" s="2"/>
    </row>
    <row r="222" spans="8:8">
      <c r="H222" s="2"/>
    </row>
    <row r="223" spans="8:8">
      <c r="H223" s="2"/>
    </row>
    <row r="224" spans="8:8">
      <c r="H224" s="2"/>
    </row>
    <row r="225" spans="8:8">
      <c r="H225" s="2"/>
    </row>
    <row r="226" spans="8:8">
      <c r="H226" s="2"/>
    </row>
    <row r="227" spans="8:8">
      <c r="H227" s="2"/>
    </row>
    <row r="228" spans="8:8">
      <c r="H228" s="2"/>
    </row>
    <row r="229" spans="8:8">
      <c r="H229" s="2"/>
    </row>
    <row r="230" spans="8:8">
      <c r="H230" s="2"/>
    </row>
    <row r="231" spans="8:8">
      <c r="H231" s="2"/>
    </row>
    <row r="232" spans="8:8">
      <c r="H232" s="2"/>
    </row>
    <row r="233" spans="8:8">
      <c r="H233" s="2"/>
    </row>
    <row r="234" spans="8:8">
      <c r="H234" s="2"/>
    </row>
    <row r="235" spans="8:8">
      <c r="H235" s="2"/>
    </row>
    <row r="236" spans="8:8">
      <c r="H236" s="2"/>
    </row>
    <row r="237" spans="8:8">
      <c r="H237" s="2"/>
    </row>
    <row r="238" spans="8:8">
      <c r="H238" s="2"/>
    </row>
    <row r="239" spans="8:8">
      <c r="H239" s="2"/>
    </row>
    <row r="240" spans="8:8">
      <c r="H240" s="2"/>
    </row>
    <row r="241" spans="8:8">
      <c r="H241" s="2"/>
    </row>
    <row r="242" spans="8:8">
      <c r="H242" s="2"/>
    </row>
    <row r="243" spans="8:8">
      <c r="H243" s="2"/>
    </row>
    <row r="244" spans="8:8">
      <c r="H244" s="2"/>
    </row>
    <row r="245" spans="8:8">
      <c r="H245" s="2"/>
    </row>
    <row r="246" spans="8:8">
      <c r="H246" s="2"/>
    </row>
    <row r="247" spans="8:8">
      <c r="H247" s="2"/>
    </row>
    <row r="248" spans="8:8">
      <c r="H248" s="2"/>
    </row>
    <row r="249" spans="8:8">
      <c r="H249" s="2"/>
    </row>
    <row r="250" spans="8:8">
      <c r="H250" s="2"/>
    </row>
    <row r="251" spans="8:8">
      <c r="H251" s="2"/>
    </row>
    <row r="252" spans="8:8">
      <c r="H252" s="2"/>
    </row>
    <row r="253" spans="8:8">
      <c r="H253" s="2"/>
    </row>
    <row r="254" spans="8:8">
      <c r="H254" s="2"/>
    </row>
    <row r="255" spans="8:8">
      <c r="H255" s="2"/>
    </row>
    <row r="256" spans="8:8">
      <c r="H256" s="2"/>
    </row>
    <row r="257" spans="8:8">
      <c r="H257" s="2"/>
    </row>
    <row r="258" spans="8:8">
      <c r="H258" s="2"/>
    </row>
    <row r="259" spans="8:8">
      <c r="H259" s="2"/>
    </row>
    <row r="260" spans="8:8">
      <c r="H260" s="2"/>
    </row>
    <row r="261" spans="8:8">
      <c r="H261" s="2"/>
    </row>
    <row r="262" spans="8:8">
      <c r="H262" s="2"/>
    </row>
    <row r="263" spans="8:8">
      <c r="H263" s="2"/>
    </row>
    <row r="264" spans="8:8">
      <c r="H264" s="2"/>
    </row>
    <row r="265" spans="8:8">
      <c r="H265" s="2"/>
    </row>
    <row r="266" spans="8:8">
      <c r="H266" s="2"/>
    </row>
    <row r="267" spans="8:8">
      <c r="H267" s="2"/>
    </row>
    <row r="268" spans="8:8">
      <c r="H268" s="2"/>
    </row>
    <row r="269" spans="8:8">
      <c r="H269" s="2"/>
    </row>
    <row r="270" spans="8:8">
      <c r="H270" s="2"/>
    </row>
    <row r="271" spans="8:8">
      <c r="H271" s="2"/>
    </row>
    <row r="272" spans="8:8">
      <c r="H272" s="2"/>
    </row>
    <row r="273" spans="8:8">
      <c r="H273" s="2"/>
    </row>
    <row r="274" spans="8:8">
      <c r="H274" s="2"/>
    </row>
    <row r="275" spans="8:8">
      <c r="H275" s="2"/>
    </row>
    <row r="276" spans="8:8">
      <c r="H276" s="2"/>
    </row>
    <row r="277" spans="8:8">
      <c r="H277" s="2"/>
    </row>
    <row r="278" spans="8:8">
      <c r="H278" s="2"/>
    </row>
    <row r="279" spans="8:8">
      <c r="H279" s="2"/>
    </row>
    <row r="280" spans="8:8">
      <c r="H280" s="2"/>
    </row>
    <row r="281" spans="8:8">
      <c r="H281" s="2"/>
    </row>
    <row r="282" spans="8:8">
      <c r="H282" s="2"/>
    </row>
    <row r="283" spans="8:8">
      <c r="H283" s="2"/>
    </row>
    <row r="284" spans="8:8">
      <c r="H284" s="2"/>
    </row>
    <row r="285" spans="8:8">
      <c r="H285" s="2"/>
    </row>
    <row r="286" spans="8:8">
      <c r="H286" s="2"/>
    </row>
    <row r="287" spans="8:8">
      <c r="H287" s="2"/>
    </row>
    <row r="288" spans="8:8">
      <c r="H288" s="2"/>
    </row>
    <row r="289" spans="8:8">
      <c r="H289" s="2"/>
    </row>
    <row r="290" spans="8:8">
      <c r="H290" s="2"/>
    </row>
    <row r="291" spans="8:8">
      <c r="H291" s="2"/>
    </row>
    <row r="292" spans="8:8">
      <c r="H292" s="2"/>
    </row>
    <row r="293" spans="8:8">
      <c r="H293" s="2"/>
    </row>
    <row r="294" spans="8:8">
      <c r="H294" s="2"/>
    </row>
    <row r="295" spans="8:8">
      <c r="H295" s="2"/>
    </row>
    <row r="296" spans="8:8">
      <c r="H296" s="2"/>
    </row>
    <row r="297" spans="8:8">
      <c r="H297" s="2"/>
    </row>
    <row r="298" spans="8:8">
      <c r="H298" s="2"/>
    </row>
    <row r="299" spans="8:8">
      <c r="H299" s="2"/>
    </row>
    <row r="300" spans="8:8">
      <c r="H300" s="2"/>
    </row>
    <row r="301" spans="8:8">
      <c r="H301" s="2"/>
    </row>
    <row r="302" spans="8:8">
      <c r="H302" s="2"/>
    </row>
    <row r="303" spans="8:8">
      <c r="H303" s="2"/>
    </row>
    <row r="304" spans="8:8">
      <c r="H304" s="2"/>
    </row>
    <row r="305" spans="8:8">
      <c r="H305" s="2"/>
    </row>
    <row r="306" spans="8:8">
      <c r="H306" s="2"/>
    </row>
    <row r="307" spans="8:8">
      <c r="H307" s="2"/>
    </row>
    <row r="308" spans="8:8">
      <c r="H308" s="2"/>
    </row>
    <row r="309" spans="8:8">
      <c r="H309" s="2"/>
    </row>
    <row r="310" spans="8:8">
      <c r="H310" s="2"/>
    </row>
    <row r="311" spans="8:8">
      <c r="H311" s="2"/>
    </row>
    <row r="312" spans="8:8">
      <c r="H312" s="2"/>
    </row>
    <row r="313" spans="8:8">
      <c r="H313" s="2"/>
    </row>
    <row r="314" spans="8:8">
      <c r="H314" s="2"/>
    </row>
    <row r="315" spans="8:8">
      <c r="H315" s="2"/>
    </row>
    <row r="316" spans="8:8">
      <c r="H316" s="2"/>
    </row>
    <row r="317" spans="8:8">
      <c r="H317" s="2"/>
    </row>
    <row r="318" spans="8:8">
      <c r="H318" s="2"/>
    </row>
    <row r="319" spans="8:8">
      <c r="H319" s="2"/>
    </row>
    <row r="320" spans="8:8">
      <c r="H320" s="2"/>
    </row>
    <row r="321" spans="8:8">
      <c r="H321" s="2"/>
    </row>
    <row r="322" spans="8:8">
      <c r="H322" s="2"/>
    </row>
    <row r="323" spans="8:8">
      <c r="H323" s="2"/>
    </row>
    <row r="324" spans="8:8">
      <c r="H324" s="2"/>
    </row>
    <row r="325" spans="8:8">
      <c r="H325" s="2"/>
    </row>
    <row r="326" spans="8:8">
      <c r="H326" s="2"/>
    </row>
    <row r="327" spans="8:8">
      <c r="H327" s="2"/>
    </row>
    <row r="328" spans="8:8">
      <c r="H328" s="2"/>
    </row>
    <row r="329" spans="8:8">
      <c r="H329" s="2"/>
    </row>
    <row r="330" spans="8:8">
      <c r="H330" s="2"/>
    </row>
    <row r="331" spans="8:8">
      <c r="H331" s="2"/>
    </row>
    <row r="332" spans="8:8">
      <c r="H332" s="2"/>
    </row>
    <row r="333" spans="8:8">
      <c r="H333" s="2"/>
    </row>
    <row r="334" spans="8:8">
      <c r="H334" s="2"/>
    </row>
    <row r="335" spans="8:8">
      <c r="H335" s="2"/>
    </row>
    <row r="336" spans="8:8">
      <c r="H336" s="2"/>
    </row>
    <row r="337" spans="8:8">
      <c r="H337" s="2"/>
    </row>
    <row r="338" spans="8:8">
      <c r="H338" s="2"/>
    </row>
    <row r="339" spans="8:8">
      <c r="H339" s="2"/>
    </row>
    <row r="340" spans="8:8">
      <c r="H340" s="2"/>
    </row>
    <row r="341" spans="8:8">
      <c r="H341" s="2"/>
    </row>
    <row r="342" spans="8:8">
      <c r="H342" s="2"/>
    </row>
    <row r="343" spans="8:8">
      <c r="H343" s="2"/>
    </row>
    <row r="344" spans="8:8">
      <c r="H344" s="2"/>
    </row>
    <row r="345" spans="8:8">
      <c r="H345" s="2"/>
    </row>
    <row r="346" spans="8:8">
      <c r="H346" s="2"/>
    </row>
    <row r="347" spans="8:8">
      <c r="H347" s="2"/>
    </row>
    <row r="348" spans="8:8">
      <c r="H348" s="2"/>
    </row>
    <row r="349" spans="8:8">
      <c r="H349" s="2"/>
    </row>
    <row r="350" spans="8:8">
      <c r="H350" s="2"/>
    </row>
    <row r="351" spans="8:8">
      <c r="H351" s="2"/>
    </row>
    <row r="352" spans="8:8">
      <c r="H352" s="2"/>
    </row>
    <row r="353" spans="8:8">
      <c r="H353" s="2"/>
    </row>
    <row r="354" spans="8:8">
      <c r="H354" s="2"/>
    </row>
    <row r="355" spans="8:8">
      <c r="H355" s="2"/>
    </row>
    <row r="356" spans="8:8">
      <c r="H356" s="2"/>
    </row>
    <row r="357" spans="8:8">
      <c r="H357" s="2"/>
    </row>
    <row r="358" spans="8:8">
      <c r="H358" s="2"/>
    </row>
    <row r="359" spans="8:8">
      <c r="H359" s="2"/>
    </row>
    <row r="360" spans="8:8">
      <c r="H360" s="2"/>
    </row>
    <row r="361" spans="8:8">
      <c r="H361" s="2"/>
    </row>
    <row r="362" spans="8:8">
      <c r="H362" s="2"/>
    </row>
    <row r="363" spans="8:8">
      <c r="H363" s="2"/>
    </row>
    <row r="364" spans="8:8">
      <c r="H364" s="2"/>
    </row>
    <row r="365" spans="8:8">
      <c r="H365" s="2"/>
    </row>
    <row r="366" spans="8:8">
      <c r="H366" s="2"/>
    </row>
    <row r="367" spans="8:8">
      <c r="H367" s="2"/>
    </row>
    <row r="368" spans="8:8">
      <c r="H368" s="2"/>
    </row>
    <row r="369" spans="8:8">
      <c r="H369" s="2"/>
    </row>
    <row r="370" spans="8:8">
      <c r="H370" s="2"/>
    </row>
    <row r="371" spans="8:8">
      <c r="H371" s="2"/>
    </row>
    <row r="372" spans="8:8">
      <c r="H372" s="2"/>
    </row>
    <row r="373" spans="8:8">
      <c r="H373" s="2"/>
    </row>
    <row r="374" spans="8:8">
      <c r="H374" s="2"/>
    </row>
    <row r="375" spans="8:8">
      <c r="H375" s="2"/>
    </row>
    <row r="376" spans="8:8">
      <c r="H376" s="2"/>
    </row>
    <row r="377" spans="8:8">
      <c r="H377" s="2"/>
    </row>
    <row r="378" spans="8:8">
      <c r="H378" s="2"/>
    </row>
    <row r="379" spans="8:8">
      <c r="H379" s="2"/>
    </row>
    <row r="380" spans="8:8">
      <c r="H380" s="2"/>
    </row>
    <row r="381" spans="8:8">
      <c r="H381" s="2"/>
    </row>
    <row r="382" spans="8:8">
      <c r="H382" s="2"/>
    </row>
    <row r="383" spans="8:8">
      <c r="H383" s="2"/>
    </row>
    <row r="384" spans="8:8">
      <c r="H384" s="2"/>
    </row>
    <row r="385" spans="8:8">
      <c r="H385" s="2"/>
    </row>
    <row r="386" spans="8:8">
      <c r="H386" s="2"/>
    </row>
    <row r="387" spans="8:8">
      <c r="H387" s="2"/>
    </row>
    <row r="388" spans="8:8">
      <c r="H388" s="2"/>
    </row>
    <row r="389" spans="8:8">
      <c r="H389" s="2"/>
    </row>
    <row r="390" spans="8:8">
      <c r="H390" s="2"/>
    </row>
    <row r="391" spans="8:8">
      <c r="H391" s="2"/>
    </row>
    <row r="392" spans="8:8">
      <c r="H392" s="2"/>
    </row>
    <row r="393" spans="8:8">
      <c r="H393" s="2"/>
    </row>
    <row r="394" spans="8:8">
      <c r="H394" s="2"/>
    </row>
    <row r="395" spans="8:8">
      <c r="H395" s="2"/>
    </row>
    <row r="396" spans="8:8">
      <c r="H396" s="2"/>
    </row>
    <row r="397" spans="8:8">
      <c r="H397" s="2"/>
    </row>
    <row r="398" spans="8:8">
      <c r="H398" s="2"/>
    </row>
    <row r="399" spans="8:8">
      <c r="H399" s="2"/>
    </row>
    <row r="400" spans="8:8">
      <c r="H400" s="2"/>
    </row>
    <row r="401" spans="8:8">
      <c r="H401" s="2"/>
    </row>
    <row r="402" spans="8:8">
      <c r="H402" s="2"/>
    </row>
    <row r="403" spans="8:8">
      <c r="H403" s="2"/>
    </row>
    <row r="404" spans="8:8">
      <c r="H404" s="2"/>
    </row>
    <row r="405" spans="8:8">
      <c r="H405" s="2"/>
    </row>
    <row r="406" spans="8:8">
      <c r="H406" s="2"/>
    </row>
    <row r="407" spans="8:8">
      <c r="H407" s="2"/>
    </row>
    <row r="408" spans="8:8">
      <c r="H408" s="2"/>
    </row>
    <row r="409" spans="8:8">
      <c r="H409" s="2"/>
    </row>
    <row r="410" spans="8:8">
      <c r="H410" s="2"/>
    </row>
    <row r="411" spans="8:8">
      <c r="H411" s="2"/>
    </row>
    <row r="412" spans="8:8">
      <c r="H412" s="2"/>
    </row>
    <row r="413" spans="8:8">
      <c r="H413" s="2"/>
    </row>
    <row r="414" spans="8:8">
      <c r="H414" s="2"/>
    </row>
    <row r="415" spans="8:8">
      <c r="H415" s="2"/>
    </row>
    <row r="416" spans="8:8">
      <c r="H416" s="2"/>
    </row>
    <row r="417" spans="8:8">
      <c r="H417" s="2"/>
    </row>
    <row r="418" spans="8:8">
      <c r="H418" s="2"/>
    </row>
    <row r="419" spans="8:8">
      <c r="H419" s="2"/>
    </row>
    <row r="420" spans="8:8">
      <c r="H420" s="2"/>
    </row>
    <row r="421" spans="8:8">
      <c r="H421" s="2"/>
    </row>
    <row r="422" spans="8:8">
      <c r="H422" s="2"/>
    </row>
    <row r="423" spans="8:8">
      <c r="H423" s="2"/>
    </row>
    <row r="424" spans="8:8">
      <c r="H424" s="2"/>
    </row>
    <row r="425" spans="8:8">
      <c r="H425" s="2"/>
    </row>
    <row r="426" spans="8:8">
      <c r="H426" s="2"/>
    </row>
    <row r="427" spans="8:8">
      <c r="H427" s="2"/>
    </row>
    <row r="428" spans="8:8">
      <c r="H428" s="2"/>
    </row>
    <row r="429" spans="8:8">
      <c r="H429" s="2"/>
    </row>
    <row r="430" spans="8:8">
      <c r="H430" s="2"/>
    </row>
    <row r="431" spans="8:8">
      <c r="H431" s="2"/>
    </row>
    <row r="432" spans="8:8">
      <c r="H432" s="2"/>
    </row>
    <row r="433" spans="8:8">
      <c r="H433" s="2"/>
    </row>
    <row r="434" spans="8:8">
      <c r="H434" s="2"/>
    </row>
    <row r="435" spans="8:8">
      <c r="H435" s="2"/>
    </row>
    <row r="436" spans="8:8">
      <c r="H436" s="2"/>
    </row>
    <row r="437" spans="8:8">
      <c r="H437" s="2"/>
    </row>
    <row r="438" spans="8:8">
      <c r="H438" s="2"/>
    </row>
    <row r="439" spans="8:8">
      <c r="H439" s="2"/>
    </row>
    <row r="440" spans="8:8">
      <c r="H440" s="2"/>
    </row>
    <row r="441" spans="8:8">
      <c r="H441" s="2"/>
    </row>
    <row r="442" spans="8:8">
      <c r="H442" s="2"/>
    </row>
    <row r="443" spans="8:8">
      <c r="H443" s="2"/>
    </row>
    <row r="444" spans="8:8">
      <c r="H444" s="2"/>
    </row>
    <row r="445" spans="8:8">
      <c r="H445" s="2"/>
    </row>
    <row r="446" spans="8:8">
      <c r="H446" s="2"/>
    </row>
    <row r="447" spans="8:8">
      <c r="H447" s="2"/>
    </row>
    <row r="448" spans="8:8">
      <c r="H448" s="2"/>
    </row>
    <row r="449" spans="8:8">
      <c r="H449" s="2"/>
    </row>
    <row r="450" spans="8:8">
      <c r="H450" s="2"/>
    </row>
    <row r="451" spans="8:8">
      <c r="H451" s="2"/>
    </row>
    <row r="452" spans="8:8">
      <c r="H452" s="2"/>
    </row>
    <row r="453" spans="8:8">
      <c r="H453" s="2"/>
    </row>
    <row r="454" spans="8:8">
      <c r="H454" s="2"/>
    </row>
    <row r="455" spans="8:8">
      <c r="H455" s="2"/>
    </row>
    <row r="456" spans="8:8">
      <c r="H456" s="2"/>
    </row>
    <row r="457" spans="8:8">
      <c r="H457" s="2"/>
    </row>
    <row r="458" spans="8:8">
      <c r="H458" s="2"/>
    </row>
    <row r="459" spans="8:8">
      <c r="H459" s="2"/>
    </row>
    <row r="460" spans="8:8">
      <c r="H460" s="2"/>
    </row>
    <row r="461" spans="8:8">
      <c r="H461" s="2"/>
    </row>
    <row r="462" spans="8:8">
      <c r="H462" s="2"/>
    </row>
    <row r="463" spans="8:8">
      <c r="H463" s="2"/>
    </row>
    <row r="464" spans="8:8">
      <c r="H464" s="2"/>
    </row>
    <row r="465" spans="8:8">
      <c r="H465" s="2"/>
    </row>
    <row r="466" spans="8:8">
      <c r="H466" s="2"/>
    </row>
    <row r="467" spans="8:8">
      <c r="H467" s="2"/>
    </row>
    <row r="468" spans="8:8">
      <c r="H468" s="2"/>
    </row>
    <row r="469" spans="8:8">
      <c r="H469" s="2"/>
    </row>
    <row r="470" spans="8:8">
      <c r="H470" s="2"/>
    </row>
    <row r="471" spans="8:8">
      <c r="H471" s="2"/>
    </row>
    <row r="472" spans="8:8">
      <c r="H472" s="2"/>
    </row>
    <row r="473" spans="8:8">
      <c r="H473" s="2"/>
    </row>
    <row r="474" spans="8:8">
      <c r="H474" s="2"/>
    </row>
    <row r="475" spans="8:8">
      <c r="H475" s="2"/>
    </row>
    <row r="476" spans="8:8">
      <c r="H476" s="2"/>
    </row>
    <row r="477" spans="8:8">
      <c r="H477" s="2"/>
    </row>
    <row r="478" spans="8:8">
      <c r="H478" s="2"/>
    </row>
    <row r="479" spans="8:8">
      <c r="H479" s="2"/>
    </row>
    <row r="480" spans="8:8">
      <c r="H480" s="2"/>
    </row>
    <row r="481" spans="8:8">
      <c r="H481" s="2"/>
    </row>
    <row r="482" spans="8:8">
      <c r="H482" s="2"/>
    </row>
    <row r="483" spans="8:8">
      <c r="H483" s="2"/>
    </row>
    <row r="484" spans="8:8">
      <c r="H484" s="2"/>
    </row>
    <row r="485" spans="8:8">
      <c r="H485" s="2"/>
    </row>
    <row r="486" spans="8:8">
      <c r="H486" s="2"/>
    </row>
    <row r="487" spans="8:8">
      <c r="H487" s="2"/>
    </row>
    <row r="488" spans="8:8">
      <c r="H488" s="2"/>
    </row>
    <row r="489" spans="8:8">
      <c r="H489" s="2"/>
    </row>
    <row r="490" spans="8:8">
      <c r="H490" s="2"/>
    </row>
    <row r="491" spans="8:8">
      <c r="H491" s="2"/>
    </row>
    <row r="492" spans="8:8">
      <c r="H492" s="2"/>
    </row>
    <row r="493" spans="8:8">
      <c r="H493" s="2"/>
    </row>
    <row r="494" spans="8:8">
      <c r="H494" s="2"/>
    </row>
    <row r="495" spans="8:8">
      <c r="H495" s="2"/>
    </row>
    <row r="496" spans="8:8">
      <c r="H496" s="2"/>
    </row>
    <row r="497" spans="8:8">
      <c r="H497" s="2"/>
    </row>
    <row r="498" spans="8:8">
      <c r="H498" s="2"/>
    </row>
    <row r="499" spans="8:8">
      <c r="H499" s="2"/>
    </row>
    <row r="500" spans="8:8">
      <c r="H500" s="2"/>
    </row>
    <row r="501" spans="8:8">
      <c r="H501" s="2"/>
    </row>
    <row r="502" spans="8:8">
      <c r="H502" s="2"/>
    </row>
    <row r="503" spans="8:8">
      <c r="H503" s="2"/>
    </row>
    <row r="504" spans="8:8">
      <c r="H504" s="2"/>
    </row>
    <row r="505" spans="8:8">
      <c r="H505" s="2"/>
    </row>
    <row r="506" spans="8:8">
      <c r="H506" s="2"/>
    </row>
    <row r="507" spans="8:8">
      <c r="H507" s="2"/>
    </row>
    <row r="508" spans="8:8">
      <c r="H508" s="2"/>
    </row>
    <row r="509" spans="8:8">
      <c r="H509" s="2"/>
    </row>
    <row r="510" spans="8:8">
      <c r="H510" s="2"/>
    </row>
    <row r="511" spans="8:8">
      <c r="H511" s="2"/>
    </row>
    <row r="512" spans="8:8">
      <c r="H512" s="2"/>
    </row>
    <row r="513" spans="8:8">
      <c r="H513" s="2"/>
    </row>
    <row r="514" spans="8:8">
      <c r="H514" s="2"/>
    </row>
    <row r="515" spans="8:8">
      <c r="H515" s="2"/>
    </row>
    <row r="516" spans="8:8">
      <c r="H516" s="2"/>
    </row>
    <row r="517" spans="8:8">
      <c r="H517" s="2"/>
    </row>
    <row r="518" spans="8:8">
      <c r="H518" s="2"/>
    </row>
    <row r="519" spans="8:8">
      <c r="H519" s="2"/>
    </row>
    <row r="520" spans="8:8">
      <c r="H520" s="2"/>
    </row>
    <row r="521" spans="8:8">
      <c r="H521" s="2"/>
    </row>
    <row r="522" spans="8:8">
      <c r="H522" s="2"/>
    </row>
    <row r="523" spans="8:8">
      <c r="H523" s="2"/>
    </row>
    <row r="524" spans="8:8">
      <c r="H524" s="2"/>
    </row>
    <row r="525" spans="8:8">
      <c r="H525" s="2"/>
    </row>
    <row r="526" spans="8:8">
      <c r="H526" s="2"/>
    </row>
    <row r="527" spans="8:8">
      <c r="H527" s="2"/>
    </row>
    <row r="528" spans="8:8">
      <c r="H528" s="2"/>
    </row>
    <row r="529" spans="8:8">
      <c r="H529" s="2"/>
    </row>
    <row r="530" spans="8:8">
      <c r="H530" s="2"/>
    </row>
    <row r="531" spans="8:8">
      <c r="H531" s="2"/>
    </row>
    <row r="532" spans="8:8">
      <c r="H532" s="2"/>
    </row>
    <row r="533" spans="8:8">
      <c r="H533" s="2"/>
    </row>
    <row r="534" spans="8:8">
      <c r="H534" s="2"/>
    </row>
    <row r="535" spans="8:8">
      <c r="H535" s="2"/>
    </row>
    <row r="536" spans="8:8">
      <c r="H536" s="2"/>
    </row>
    <row r="537" spans="8:8">
      <c r="H537" s="2"/>
    </row>
    <row r="538" spans="8:8">
      <c r="H538" s="2"/>
    </row>
    <row r="539" spans="8:8">
      <c r="H539" s="2"/>
    </row>
    <row r="540" spans="8:8">
      <c r="H540" s="2"/>
    </row>
    <row r="541" spans="8:8">
      <c r="H541" s="2"/>
    </row>
    <row r="542" spans="8:8">
      <c r="H542" s="2"/>
    </row>
    <row r="543" spans="8:8">
      <c r="H543" s="2"/>
    </row>
    <row r="544" spans="8:8">
      <c r="H544" s="2"/>
    </row>
    <row r="545" spans="8:8">
      <c r="H545" s="2"/>
    </row>
    <row r="546" spans="8:8">
      <c r="H546" s="2"/>
    </row>
    <row r="547" spans="8:8">
      <c r="H547" s="2"/>
    </row>
    <row r="548" spans="8:8">
      <c r="H548" s="2"/>
    </row>
    <row r="549" spans="8:8">
      <c r="H549" s="2"/>
    </row>
    <row r="550" spans="8:8">
      <c r="H550" s="2"/>
    </row>
    <row r="551" spans="8:8">
      <c r="H551" s="2"/>
    </row>
    <row r="552" spans="8:8">
      <c r="H552" s="2"/>
    </row>
    <row r="553" spans="8:8">
      <c r="H553" s="2"/>
    </row>
    <row r="554" spans="8:8">
      <c r="H554" s="2"/>
    </row>
    <row r="555" spans="8:8">
      <c r="H555" s="2"/>
    </row>
    <row r="556" spans="8:8">
      <c r="H556" s="2"/>
    </row>
    <row r="557" spans="8:8">
      <c r="H557" s="2"/>
    </row>
    <row r="558" spans="8:8">
      <c r="H558" s="2"/>
    </row>
    <row r="559" spans="8:8">
      <c r="H559" s="2"/>
    </row>
    <row r="560" spans="8:8">
      <c r="H560" s="2"/>
    </row>
    <row r="561" spans="8:8">
      <c r="H561" s="2"/>
    </row>
    <row r="562" spans="8:8">
      <c r="H562" s="2"/>
    </row>
    <row r="563" spans="8:8">
      <c r="H563" s="2"/>
    </row>
    <row r="564" spans="8:8">
      <c r="H564" s="2"/>
    </row>
    <row r="565" spans="8:8">
      <c r="H565" s="2"/>
    </row>
    <row r="566" spans="8:8">
      <c r="H566" s="2"/>
    </row>
    <row r="567" spans="8:8">
      <c r="H567" s="2"/>
    </row>
    <row r="568" spans="8:8">
      <c r="H568" s="2"/>
    </row>
    <row r="569" spans="8:8">
      <c r="H569" s="2"/>
    </row>
    <row r="570" spans="8:8">
      <c r="H570" s="2"/>
    </row>
    <row r="571" spans="8:8">
      <c r="H571" s="2"/>
    </row>
    <row r="572" spans="8:8">
      <c r="H572" s="2"/>
    </row>
    <row r="573" spans="8:8">
      <c r="H573" s="2"/>
    </row>
    <row r="574" spans="8:8">
      <c r="H574" s="2"/>
    </row>
    <row r="575" spans="8:8">
      <c r="H575" s="2"/>
    </row>
    <row r="576" spans="8:8">
      <c r="H576" s="2"/>
    </row>
    <row r="577" spans="8:8">
      <c r="H577" s="2"/>
    </row>
    <row r="578" spans="8:8">
      <c r="H578" s="2"/>
    </row>
    <row r="579" spans="8:8">
      <c r="H579" s="2"/>
    </row>
    <row r="580" spans="8:8">
      <c r="H580" s="2"/>
    </row>
    <row r="581" spans="8:8">
      <c r="H581" s="2"/>
    </row>
    <row r="582" spans="8:8">
      <c r="H582" s="2"/>
    </row>
    <row r="583" spans="8:8">
      <c r="H583" s="2"/>
    </row>
    <row r="584" spans="8:8">
      <c r="H584" s="2"/>
    </row>
    <row r="585" spans="8:8">
      <c r="H585" s="2"/>
    </row>
    <row r="586" spans="8:8">
      <c r="H586" s="2"/>
    </row>
    <row r="587" spans="8:8">
      <c r="H587" s="2"/>
    </row>
    <row r="588" spans="8:8">
      <c r="H588" s="2"/>
    </row>
    <row r="589" spans="8:8">
      <c r="H589" s="2"/>
    </row>
    <row r="590" spans="8:8">
      <c r="H590" s="2"/>
    </row>
    <row r="591" spans="8:8">
      <c r="H591" s="2"/>
    </row>
    <row r="592" spans="8:8">
      <c r="H592" s="2"/>
    </row>
    <row r="593" spans="8:8">
      <c r="H593" s="2"/>
    </row>
    <row r="594" spans="8:8">
      <c r="H594" s="2"/>
    </row>
    <row r="595" spans="8:8">
      <c r="H595" s="2"/>
    </row>
    <row r="596" spans="8:8">
      <c r="H596" s="2"/>
    </row>
    <row r="597" spans="8:8">
      <c r="H597" s="2"/>
    </row>
    <row r="598" spans="8:8">
      <c r="H598" s="2"/>
    </row>
    <row r="599" spans="8:8">
      <c r="H599" s="2"/>
    </row>
    <row r="600" spans="8:8">
      <c r="H600" s="2"/>
    </row>
    <row r="601" spans="8:8">
      <c r="H601" s="2"/>
    </row>
    <row r="602" spans="8:8">
      <c r="H602" s="2"/>
    </row>
    <row r="603" spans="8:8">
      <c r="H603" s="2"/>
    </row>
    <row r="604" spans="8:8">
      <c r="H604" s="2"/>
    </row>
    <row r="605" spans="8:8">
      <c r="H605" s="2"/>
    </row>
    <row r="606" spans="8:8">
      <c r="H606" s="2"/>
    </row>
    <row r="607" spans="8:8">
      <c r="H607" s="2"/>
    </row>
    <row r="608" spans="8:8">
      <c r="H608" s="2"/>
    </row>
    <row r="609" spans="8:8">
      <c r="H609" s="2"/>
    </row>
    <row r="610" spans="8:8">
      <c r="H610" s="2"/>
    </row>
    <row r="611" spans="8:8">
      <c r="H611" s="2"/>
    </row>
    <row r="612" spans="8:8">
      <c r="H612" s="2"/>
    </row>
    <row r="613" spans="8:8">
      <c r="H613" s="2"/>
    </row>
    <row r="614" spans="8:8">
      <c r="H614" s="2"/>
    </row>
    <row r="615" spans="8:8">
      <c r="H615" s="2"/>
    </row>
    <row r="616" spans="8:8">
      <c r="H616" s="2"/>
    </row>
    <row r="617" spans="8:8">
      <c r="H617" s="2"/>
    </row>
    <row r="618" spans="8:8">
      <c r="H618" s="2"/>
    </row>
    <row r="619" spans="8:8">
      <c r="H619" s="2"/>
    </row>
    <row r="620" spans="8:8">
      <c r="H620" s="2"/>
    </row>
    <row r="621" spans="8:8">
      <c r="H621" s="2"/>
    </row>
    <row r="622" spans="8:8">
      <c r="H622" s="2"/>
    </row>
    <row r="623" spans="8:8">
      <c r="H623" s="2"/>
    </row>
    <row r="624" spans="8:8">
      <c r="H624" s="2"/>
    </row>
    <row r="625" spans="8:8">
      <c r="H625" s="2"/>
    </row>
    <row r="626" spans="8:8">
      <c r="H626" s="2"/>
    </row>
    <row r="627" spans="8:8">
      <c r="H627" s="2"/>
    </row>
    <row r="628" spans="8:8">
      <c r="H628" s="2"/>
    </row>
    <row r="629" spans="8:8">
      <c r="H629" s="2"/>
    </row>
    <row r="630" spans="8:8">
      <c r="H630" s="2"/>
    </row>
    <row r="631" spans="8:8">
      <c r="H631" s="2"/>
    </row>
    <row r="632" spans="8:8">
      <c r="H632" s="2"/>
    </row>
    <row r="633" spans="8:8">
      <c r="H633" s="2"/>
    </row>
    <row r="634" spans="8:8">
      <c r="H634" s="2"/>
    </row>
    <row r="635" spans="8:8">
      <c r="H635" s="2"/>
    </row>
    <row r="636" spans="8:8">
      <c r="H636" s="2"/>
    </row>
    <row r="637" spans="8:8">
      <c r="H637" s="2"/>
    </row>
    <row r="638" spans="8:8">
      <c r="H638" s="2"/>
    </row>
    <row r="639" spans="8:8">
      <c r="H639" s="2"/>
    </row>
    <row r="640" spans="8:8">
      <c r="H640" s="2"/>
    </row>
    <row r="641" spans="8:8">
      <c r="H641" s="2"/>
    </row>
    <row r="642" spans="8:8">
      <c r="H642" s="2"/>
    </row>
    <row r="643" spans="8:8">
      <c r="H643" s="2"/>
    </row>
    <row r="644" spans="8:8">
      <c r="H644" s="2"/>
    </row>
    <row r="645" spans="8:8">
      <c r="H645" s="2"/>
    </row>
    <row r="646" spans="8:8">
      <c r="H646" s="2"/>
    </row>
    <row r="647" spans="8:8">
      <c r="H647" s="2"/>
    </row>
    <row r="648" spans="8:8">
      <c r="H648" s="2"/>
    </row>
    <row r="649" spans="8:8">
      <c r="H649" s="2"/>
    </row>
    <row r="650" spans="8:8">
      <c r="H650" s="2"/>
    </row>
    <row r="651" spans="8:8">
      <c r="H651" s="2"/>
    </row>
    <row r="652" spans="8:8">
      <c r="H652" s="2"/>
    </row>
    <row r="653" spans="8:8">
      <c r="H653" s="2"/>
    </row>
    <row r="654" spans="8:8">
      <c r="H654" s="2"/>
    </row>
    <row r="655" spans="8:8">
      <c r="H655" s="2"/>
    </row>
    <row r="656" spans="8:8">
      <c r="H656" s="2"/>
    </row>
    <row r="657" spans="8:8">
      <c r="H657" s="2"/>
    </row>
    <row r="658" spans="8:8">
      <c r="H658" s="2"/>
    </row>
    <row r="659" spans="8:8">
      <c r="H659" s="2"/>
    </row>
    <row r="660" spans="8:8">
      <c r="H660" s="2"/>
    </row>
    <row r="661" spans="8:8">
      <c r="H661" s="2"/>
    </row>
    <row r="662" spans="8:8">
      <c r="H662" s="2"/>
    </row>
    <row r="663" spans="8:8">
      <c r="H663" s="2"/>
    </row>
    <row r="664" spans="8:8">
      <c r="H664" s="2"/>
    </row>
    <row r="665" spans="8:8">
      <c r="H665" s="2"/>
    </row>
    <row r="666" spans="8:8">
      <c r="H666" s="2"/>
    </row>
    <row r="667" spans="8:8">
      <c r="H667" s="2"/>
    </row>
    <row r="668" spans="8:8">
      <c r="H668" s="2"/>
    </row>
    <row r="669" spans="8:8">
      <c r="H669" s="2"/>
    </row>
    <row r="670" spans="8:8">
      <c r="H670" s="2"/>
    </row>
    <row r="671" spans="8:8">
      <c r="H671" s="2"/>
    </row>
    <row r="672" spans="8:8">
      <c r="H672" s="2"/>
    </row>
    <row r="673" spans="8:8">
      <c r="H673" s="2"/>
    </row>
    <row r="674" spans="8:8">
      <c r="H674" s="2"/>
    </row>
    <row r="675" spans="8:8">
      <c r="H675" s="2"/>
    </row>
    <row r="676" spans="8:8">
      <c r="H676" s="2"/>
    </row>
    <row r="677" spans="8:8">
      <c r="H677" s="2"/>
    </row>
    <row r="678" spans="8:8">
      <c r="H678" s="2"/>
    </row>
    <row r="679" spans="8:8">
      <c r="H679" s="2"/>
    </row>
    <row r="680" spans="8:8">
      <c r="H680" s="2"/>
    </row>
    <row r="681" spans="8:8">
      <c r="H681" s="2"/>
    </row>
    <row r="682" spans="8:8">
      <c r="H682" s="2"/>
    </row>
    <row r="683" spans="8:8">
      <c r="H683" s="2"/>
    </row>
    <row r="684" spans="8:8">
      <c r="H684" s="2"/>
    </row>
    <row r="685" spans="8:8">
      <c r="H685" s="2"/>
    </row>
    <row r="686" spans="8:8">
      <c r="H686" s="2"/>
    </row>
    <row r="687" spans="8:8">
      <c r="H687" s="2"/>
    </row>
    <row r="688" spans="8:8">
      <c r="H688" s="2"/>
    </row>
    <row r="689" spans="8:8">
      <c r="H689" s="2"/>
    </row>
    <row r="690" spans="8:8">
      <c r="H690" s="2"/>
    </row>
    <row r="691" spans="8:8">
      <c r="H691" s="2"/>
    </row>
    <row r="692" spans="8:8">
      <c r="H692" s="2"/>
    </row>
    <row r="693" spans="8:8">
      <c r="H693" s="2"/>
    </row>
    <row r="694" spans="8:8">
      <c r="H694" s="2"/>
    </row>
    <row r="695" spans="8:8">
      <c r="H695" s="2"/>
    </row>
    <row r="696" spans="8:8">
      <c r="H696" s="2"/>
    </row>
    <row r="697" spans="8:8">
      <c r="H697" s="2"/>
    </row>
    <row r="698" spans="8:8">
      <c r="H698" s="2"/>
    </row>
    <row r="699" spans="8:8">
      <c r="H699" s="2"/>
    </row>
    <row r="700" spans="8:8">
      <c r="H700" s="2"/>
    </row>
    <row r="701" spans="8:8">
      <c r="H701" s="2"/>
    </row>
    <row r="702" spans="8:8">
      <c r="H702" s="2"/>
    </row>
    <row r="703" spans="8:8">
      <c r="H703" s="2"/>
    </row>
    <row r="704" spans="8:8">
      <c r="H704" s="2"/>
    </row>
    <row r="705" spans="8:10">
      <c r="H705" s="2"/>
    </row>
    <row r="706" spans="8:10">
      <c r="H706" s="2"/>
    </row>
    <row r="707" spans="8:10">
      <c r="H707" s="2"/>
    </row>
    <row r="708" spans="8:10">
      <c r="H708" s="2"/>
      <c r="I708" s="2"/>
      <c r="J708" s="2"/>
    </row>
    <row r="709" spans="8:10">
      <c r="H709" s="2"/>
    </row>
    <row r="710" spans="8:10">
      <c r="H710" s="2"/>
    </row>
    <row r="711" spans="8:10">
      <c r="H711" s="2"/>
      <c r="I711" s="2"/>
      <c r="J711" s="2"/>
    </row>
    <row r="712" spans="8:10">
      <c r="H712" s="2"/>
    </row>
    <row r="713" spans="8:10">
      <c r="H713" s="2"/>
      <c r="I713" s="2"/>
    </row>
    <row r="714" spans="8:10">
      <c r="H714" s="2"/>
    </row>
    <row r="715" spans="8:10">
      <c r="H715" s="2"/>
      <c r="I715" s="2"/>
      <c r="J715" s="2"/>
    </row>
    <row r="716" spans="8:10">
      <c r="H716" s="2"/>
    </row>
    <row r="717" spans="8:10">
      <c r="H717" s="2"/>
    </row>
    <row r="718" spans="8:10">
      <c r="H718" s="2"/>
    </row>
    <row r="719" spans="8:10">
      <c r="H719" s="2"/>
    </row>
    <row r="720" spans="8:10">
      <c r="H720" s="2"/>
    </row>
    <row r="721" spans="8:9">
      <c r="H721" s="2"/>
    </row>
    <row r="722" spans="8:9">
      <c r="H722" s="2"/>
    </row>
    <row r="723" spans="8:9">
      <c r="H723" s="2"/>
      <c r="I723" s="2"/>
    </row>
    <row r="724" spans="8:9">
      <c r="H724" s="2"/>
    </row>
    <row r="725" spans="8:9">
      <c r="H725" s="2"/>
    </row>
    <row r="726" spans="8:9">
      <c r="H726" s="2"/>
    </row>
    <row r="727" spans="8:9">
      <c r="H727" s="2"/>
    </row>
    <row r="728" spans="8:9">
      <c r="H728" s="2"/>
    </row>
    <row r="729" spans="8:9">
      <c r="H729" s="2"/>
    </row>
    <row r="730" spans="8:9">
      <c r="H730" s="2"/>
    </row>
    <row r="731" spans="8:9">
      <c r="H731" s="2"/>
    </row>
    <row r="732" spans="8:9">
      <c r="H732" s="2"/>
    </row>
    <row r="733" spans="8:9">
      <c r="H733" s="2"/>
    </row>
    <row r="734" spans="8:9">
      <c r="H734" s="2"/>
    </row>
    <row r="735" spans="8:9">
      <c r="H735" s="2"/>
    </row>
    <row r="736" spans="8:9">
      <c r="H736" s="2"/>
    </row>
    <row r="737" spans="8:8">
      <c r="H737" s="2"/>
    </row>
    <row r="738" spans="8:8">
      <c r="H738" s="2"/>
    </row>
    <row r="739" spans="8:8">
      <c r="H739" s="2"/>
    </row>
    <row r="740" spans="8:8">
      <c r="H740" s="2"/>
    </row>
    <row r="741" spans="8:8">
      <c r="H741" s="2"/>
    </row>
    <row r="742" spans="8:8">
      <c r="H742" s="2"/>
    </row>
    <row r="743" spans="8:8">
      <c r="H743" s="2"/>
    </row>
    <row r="744" spans="8:8">
      <c r="H744" s="2"/>
    </row>
    <row r="745" spans="8:8">
      <c r="H745" s="2"/>
    </row>
    <row r="746" spans="8:8">
      <c r="H746" s="2"/>
    </row>
    <row r="747" spans="8:8">
      <c r="H747" s="2"/>
    </row>
    <row r="748" spans="8:8">
      <c r="H748" s="2"/>
    </row>
    <row r="800" spans="8:8">
      <c r="H800" s="2"/>
    </row>
    <row r="801" spans="4:8">
      <c r="H801" s="2"/>
    </row>
    <row r="805" spans="4:8">
      <c r="D805" s="3"/>
    </row>
    <row r="816" spans="4:8">
      <c r="H816" s="2"/>
    </row>
    <row r="818" spans="4:8">
      <c r="D818" s="3"/>
    </row>
    <row r="819" spans="4:8">
      <c r="H819" s="2"/>
    </row>
    <row r="820" spans="4:8">
      <c r="H820" s="2"/>
    </row>
    <row r="881" spans="1:7">
      <c r="A881" s="10"/>
      <c r="B881" s="11"/>
      <c r="E881" s="11"/>
      <c r="F881" s="11"/>
      <c r="G881" s="11"/>
    </row>
    <row r="882" spans="1:7">
      <c r="A882" s="10"/>
      <c r="B882" s="11"/>
      <c r="E882" s="11"/>
      <c r="F882" s="11"/>
      <c r="G882" s="11"/>
    </row>
    <row r="883" spans="1:7">
      <c r="A883" s="10"/>
      <c r="F883" s="11"/>
      <c r="G883" s="11"/>
    </row>
    <row r="884" spans="1:7">
      <c r="A884" s="10"/>
      <c r="B884" s="11"/>
      <c r="E884" s="11"/>
      <c r="F884" s="11"/>
      <c r="G884" s="11"/>
    </row>
    <row r="885" spans="1:7">
      <c r="A885" s="10"/>
      <c r="B885" s="11"/>
      <c r="E885" s="11"/>
      <c r="F885" s="11"/>
      <c r="G885" s="11"/>
    </row>
    <row r="886" spans="1:7">
      <c r="A886" s="10"/>
      <c r="F886" s="11"/>
      <c r="G886" s="11"/>
    </row>
    <row r="887" spans="1:7">
      <c r="A887" s="10"/>
      <c r="B887" s="11"/>
      <c r="E887" s="11"/>
      <c r="F887" s="11"/>
      <c r="G887" s="11"/>
    </row>
    <row r="888" spans="1:7">
      <c r="A888" s="10"/>
      <c r="B888" s="11"/>
      <c r="E888" s="11"/>
      <c r="F888" s="11"/>
      <c r="G888" s="11"/>
    </row>
    <row r="889" spans="1:7">
      <c r="A889" s="10"/>
      <c r="B889" s="11"/>
      <c r="E889" s="11"/>
      <c r="F889" s="11"/>
      <c r="G889" s="11"/>
    </row>
    <row r="890" spans="1:7">
      <c r="A890" s="10"/>
      <c r="B890" s="11"/>
      <c r="E890" s="11"/>
      <c r="F890" s="11"/>
      <c r="G890" s="11"/>
    </row>
    <row r="891" spans="1:7">
      <c r="A891" s="10"/>
      <c r="B891" s="11"/>
      <c r="E891" s="11"/>
      <c r="F891" s="11"/>
      <c r="G891" s="11"/>
    </row>
    <row r="892" spans="1:7">
      <c r="A892" s="10"/>
      <c r="B892" s="11"/>
      <c r="E892" s="11"/>
      <c r="F892" s="11"/>
      <c r="G892" s="11"/>
    </row>
    <row r="893" spans="1:7">
      <c r="A893" s="10"/>
      <c r="B893" s="11"/>
      <c r="E893" s="11"/>
      <c r="F893" s="11"/>
      <c r="G893" s="11"/>
    </row>
    <row r="894" spans="1:7">
      <c r="A894" s="10"/>
      <c r="B894" s="11"/>
      <c r="E894" s="11"/>
      <c r="F894" s="11"/>
      <c r="G894" s="11"/>
    </row>
    <row r="895" spans="1:7">
      <c r="A895" s="10"/>
      <c r="B895" s="11"/>
      <c r="E895" s="11"/>
      <c r="F895" s="11"/>
      <c r="G895" s="11"/>
    </row>
    <row r="896" spans="1:7">
      <c r="A896" s="10"/>
      <c r="B896" s="11"/>
      <c r="E896" s="11"/>
      <c r="F896" s="11"/>
      <c r="G896" s="11"/>
    </row>
    <row r="897" spans="1:7">
      <c r="A897" s="10"/>
      <c r="B897" s="11"/>
      <c r="E897" s="11"/>
      <c r="F897" s="11"/>
      <c r="G897" s="11"/>
    </row>
    <row r="898" spans="1:7">
      <c r="A898" s="10"/>
      <c r="B898" s="11"/>
      <c r="E898" s="11"/>
      <c r="F898" s="11"/>
      <c r="G898" s="11"/>
    </row>
    <row r="899" spans="1:7">
      <c r="A899" s="10"/>
      <c r="B899" s="11"/>
      <c r="E899" s="11"/>
      <c r="F899" s="11"/>
      <c r="G899" s="11"/>
    </row>
    <row r="900" spans="1:7">
      <c r="A900" s="10"/>
      <c r="B900" s="11"/>
      <c r="E900" s="11"/>
      <c r="F900" s="11"/>
      <c r="G900" s="11"/>
    </row>
    <row r="901" spans="1:7">
      <c r="A901" s="10"/>
      <c r="B901" s="11"/>
      <c r="E901" s="11"/>
      <c r="F901" s="11"/>
      <c r="G901" s="11"/>
    </row>
    <row r="902" spans="1:7">
      <c r="A902" s="10"/>
      <c r="B902" s="11"/>
      <c r="E902" s="11"/>
      <c r="F902" s="11"/>
      <c r="G902" s="11"/>
    </row>
    <row r="903" spans="1:7">
      <c r="A903" s="10"/>
      <c r="B903" s="11"/>
      <c r="E903" s="11"/>
      <c r="F903" s="11"/>
      <c r="G903" s="11"/>
    </row>
    <row r="904" spans="1:7">
      <c r="A904" s="10"/>
      <c r="B904" s="11"/>
      <c r="E904" s="11"/>
      <c r="F904" s="11"/>
      <c r="G904" s="11"/>
    </row>
    <row r="905" spans="1:7">
      <c r="A905" s="10"/>
      <c r="B905" s="11"/>
      <c r="E905" s="11"/>
      <c r="F905" s="11"/>
      <c r="G905" s="11"/>
    </row>
    <row r="906" spans="1:7">
      <c r="A906" s="10"/>
      <c r="B906" s="11"/>
      <c r="E906" s="11"/>
      <c r="F906" s="11"/>
      <c r="G906" s="11"/>
    </row>
    <row r="907" spans="1:7">
      <c r="A907" s="10"/>
      <c r="B907" s="11"/>
      <c r="E907" s="11"/>
      <c r="F907" s="11"/>
      <c r="G907" s="11"/>
    </row>
    <row r="908" spans="1:7">
      <c r="A908" s="10"/>
      <c r="B908" s="11"/>
      <c r="E908" s="11"/>
      <c r="F908" s="11"/>
      <c r="G908" s="11"/>
    </row>
    <row r="909" spans="1:7">
      <c r="A909" s="10"/>
      <c r="B909" s="11"/>
      <c r="E909" s="11"/>
      <c r="F909" s="11"/>
      <c r="G909" s="11"/>
    </row>
    <row r="910" spans="1:7">
      <c r="A910" s="10"/>
      <c r="B910" s="11"/>
      <c r="E910" s="11"/>
      <c r="F910" s="11"/>
      <c r="G910" s="11"/>
    </row>
    <row r="911" spans="1:7">
      <c r="A911" s="10"/>
      <c r="B911" s="11"/>
      <c r="E911" s="11"/>
      <c r="F911" s="11"/>
      <c r="G911" s="11"/>
    </row>
    <row r="912" spans="1:7">
      <c r="A912" s="10"/>
      <c r="B912" s="11"/>
      <c r="E912" s="11"/>
      <c r="F912" s="11"/>
      <c r="G912" s="11"/>
    </row>
    <row r="913" spans="1:8">
      <c r="A913" s="10"/>
      <c r="B913" s="11"/>
      <c r="E913" s="11"/>
      <c r="F913" s="11"/>
      <c r="G913" s="11"/>
    </row>
    <row r="914" spans="1:8">
      <c r="A914" s="10"/>
      <c r="B914" s="11"/>
      <c r="E914" s="11"/>
      <c r="F914" s="11"/>
      <c r="G914" s="11"/>
      <c r="H914" s="11"/>
    </row>
    <row r="915" spans="1:8">
      <c r="A915" s="10"/>
      <c r="B915" s="11"/>
      <c r="E915" s="11"/>
      <c r="F915" s="11"/>
      <c r="G915" s="11"/>
    </row>
    <row r="916" spans="1:8">
      <c r="A916" s="10"/>
      <c r="B916" s="11"/>
      <c r="E916" s="11"/>
      <c r="F916" s="11"/>
      <c r="G916" s="11"/>
    </row>
    <row r="917" spans="1:8">
      <c r="A917" s="10"/>
      <c r="B917" s="11"/>
      <c r="C917" s="11"/>
      <c r="D917" s="11"/>
      <c r="E917" s="11"/>
      <c r="F917" s="11"/>
      <c r="G917" s="11"/>
    </row>
    <row r="918" spans="1:8">
      <c r="A918" s="10"/>
      <c r="B918" s="11"/>
      <c r="E918" s="11"/>
      <c r="F918" s="11"/>
      <c r="G918" s="11"/>
    </row>
    <row r="919" spans="1:8">
      <c r="A919" s="10"/>
      <c r="B919" s="11"/>
      <c r="E919" s="11"/>
      <c r="F919" s="11"/>
      <c r="G919" s="11"/>
    </row>
    <row r="920" spans="1:8">
      <c r="A920" s="10"/>
      <c r="B920" s="11"/>
      <c r="C920" s="11"/>
      <c r="E920" s="11"/>
      <c r="F920" s="11"/>
      <c r="G920" s="11"/>
    </row>
    <row r="921" spans="1:8">
      <c r="A921" s="10"/>
      <c r="B921" s="11"/>
      <c r="E921" s="11"/>
      <c r="F921" s="11"/>
      <c r="G921" s="11"/>
    </row>
    <row r="922" spans="1:8">
      <c r="A922" s="10"/>
      <c r="B922" s="11"/>
      <c r="C922" s="11"/>
      <c r="D922" s="11"/>
      <c r="E922" s="11"/>
      <c r="F922" s="11"/>
      <c r="G922" s="11"/>
    </row>
    <row r="923" spans="1:8">
      <c r="A923" s="10"/>
      <c r="B923" s="11"/>
      <c r="C923" s="11"/>
      <c r="E923" s="11"/>
      <c r="F923" s="11"/>
      <c r="G923" s="11"/>
    </row>
    <row r="924" spans="1:8">
      <c r="A924" s="10"/>
      <c r="B924" s="11"/>
      <c r="E924" s="11"/>
      <c r="F924" s="11"/>
      <c r="G924" s="11"/>
    </row>
    <row r="925" spans="1:8">
      <c r="A925" s="10"/>
      <c r="B925" s="11"/>
      <c r="E925" s="11"/>
      <c r="F925" s="11"/>
      <c r="G925" s="11"/>
    </row>
    <row r="926" spans="1:8">
      <c r="A926" s="10"/>
      <c r="B926" s="11"/>
      <c r="C926" s="11"/>
      <c r="D926" s="11"/>
      <c r="E926" s="11"/>
      <c r="F926" s="11"/>
      <c r="G926" s="11"/>
    </row>
    <row r="927" spans="1:8">
      <c r="A927" s="10"/>
      <c r="B927" s="11"/>
      <c r="E927" s="11"/>
      <c r="F927" s="11"/>
      <c r="G927" s="11"/>
    </row>
    <row r="928" spans="1:8">
      <c r="A928" s="10"/>
      <c r="B928" s="11"/>
      <c r="E928" s="11"/>
      <c r="F928" s="11"/>
      <c r="G928" s="11"/>
    </row>
    <row r="929" spans="1:7">
      <c r="A929" s="10"/>
      <c r="B929" s="11"/>
      <c r="E929" s="11"/>
      <c r="F929" s="11"/>
      <c r="G929" s="11"/>
    </row>
    <row r="930" spans="1:7">
      <c r="A930" s="10"/>
      <c r="B930" s="11"/>
      <c r="F930" s="11"/>
      <c r="G930" s="11"/>
    </row>
    <row r="931" spans="1:7">
      <c r="A931" s="10"/>
      <c r="B931" s="11"/>
      <c r="E931" s="11"/>
      <c r="F931" s="11"/>
      <c r="G931" s="11"/>
    </row>
    <row r="932" spans="1:7">
      <c r="A932" s="10"/>
      <c r="B932" s="11"/>
      <c r="E932" s="11"/>
      <c r="F932" s="11"/>
      <c r="G932" s="11"/>
    </row>
    <row r="933" spans="1:7">
      <c r="A933" s="10"/>
      <c r="B933" s="11"/>
      <c r="E933" s="11"/>
      <c r="F933" s="11"/>
      <c r="G933" s="11"/>
    </row>
    <row r="934" spans="1:7">
      <c r="A934" s="10"/>
      <c r="B934" s="11"/>
      <c r="C934" s="11"/>
      <c r="D934" s="11"/>
      <c r="E934" s="11"/>
      <c r="F934" s="11"/>
      <c r="G934" s="11"/>
    </row>
    <row r="935" spans="1:7">
      <c r="A935" s="10"/>
      <c r="B935" s="11"/>
      <c r="C935" s="11"/>
      <c r="D935" s="11"/>
      <c r="E935" s="11"/>
      <c r="F935" s="11"/>
      <c r="G935" s="11"/>
    </row>
    <row r="936" spans="1:7">
      <c r="A936" s="10"/>
      <c r="B936" s="11"/>
      <c r="E936" s="11"/>
      <c r="F936" s="11"/>
      <c r="G936" s="11"/>
    </row>
    <row r="937" spans="1:7">
      <c r="A937" s="10"/>
      <c r="B937" s="11"/>
      <c r="C937" s="11"/>
      <c r="D937" s="11"/>
      <c r="E937" s="11"/>
      <c r="F937" s="11"/>
      <c r="G937" s="11"/>
    </row>
    <row r="938" spans="1:7">
      <c r="A938" s="10"/>
      <c r="B938" s="11"/>
      <c r="C938" s="11"/>
      <c r="D938" s="11"/>
      <c r="E938" s="11"/>
      <c r="F938" s="11"/>
      <c r="G938" s="11"/>
    </row>
    <row r="939" spans="1:7">
      <c r="A939" s="10"/>
      <c r="B939" s="11"/>
      <c r="C939" s="11"/>
      <c r="D939" s="11"/>
      <c r="E939" s="11"/>
      <c r="F939" s="11"/>
      <c r="G939" s="11"/>
    </row>
    <row r="940" spans="1:7">
      <c r="A940" s="10"/>
      <c r="B940" s="11"/>
      <c r="C940" s="11"/>
      <c r="D940" s="11"/>
      <c r="E940" s="11"/>
      <c r="F940" s="11"/>
      <c r="G940" s="11"/>
    </row>
    <row r="941" spans="1:7">
      <c r="A941" s="10"/>
      <c r="B941" s="11"/>
      <c r="C941" s="11"/>
      <c r="D941" s="11"/>
      <c r="E941" s="11"/>
      <c r="F941" s="11"/>
      <c r="G941" s="11"/>
    </row>
    <row r="942" spans="1:7">
      <c r="A942" s="10"/>
      <c r="B942" s="11"/>
      <c r="C942" s="11"/>
      <c r="D942" s="11"/>
      <c r="E942" s="11"/>
      <c r="F942" s="11"/>
      <c r="G942" s="11"/>
    </row>
    <row r="943" spans="1:7">
      <c r="A943" s="10"/>
      <c r="F943" s="11"/>
      <c r="G943" s="11"/>
    </row>
    <row r="944" spans="1:7">
      <c r="A944" s="10"/>
      <c r="B944" s="11"/>
      <c r="C944" s="11"/>
      <c r="E944" s="11"/>
      <c r="F944" s="11"/>
      <c r="G944" s="11"/>
    </row>
    <row r="945" spans="1:7">
      <c r="A945" s="10"/>
      <c r="B945" s="11"/>
      <c r="C945" s="11"/>
      <c r="D945" s="11"/>
      <c r="E945" s="11"/>
      <c r="F945" s="11"/>
      <c r="G945" s="11"/>
    </row>
    <row r="946" spans="1:7">
      <c r="A946" s="10"/>
      <c r="B946" s="11"/>
      <c r="C946" s="11"/>
      <c r="D946" s="11"/>
      <c r="E946" s="11"/>
      <c r="F946" s="11"/>
      <c r="G946" s="11"/>
    </row>
    <row r="947" spans="1:7">
      <c r="A947" s="10"/>
      <c r="B947" s="11"/>
      <c r="C947" s="11"/>
      <c r="D947" s="11"/>
      <c r="E947" s="11"/>
      <c r="F947" s="11"/>
      <c r="G947" s="11"/>
    </row>
    <row r="948" spans="1:7">
      <c r="A948" s="10"/>
      <c r="B948" s="11"/>
      <c r="C948" s="11"/>
      <c r="D948" s="11"/>
      <c r="E948" s="11"/>
      <c r="F948" s="11"/>
      <c r="G948" s="11"/>
    </row>
    <row r="949" spans="1:7">
      <c r="A949" s="10"/>
      <c r="B949" s="11"/>
      <c r="C949" s="11"/>
      <c r="D949" s="11"/>
      <c r="E949" s="11"/>
      <c r="F949" s="11"/>
      <c r="G949" s="11"/>
    </row>
    <row r="950" spans="1:7">
      <c r="A950" s="10"/>
      <c r="B950" s="11"/>
      <c r="C950" s="11"/>
      <c r="D950" s="11"/>
      <c r="E950" s="11"/>
      <c r="F950" s="11"/>
      <c r="G950" s="11"/>
    </row>
    <row r="951" spans="1:7">
      <c r="A951" s="10"/>
      <c r="B951" s="11"/>
      <c r="C951" s="11"/>
      <c r="D951" s="11"/>
      <c r="E951" s="11"/>
      <c r="F951" s="11"/>
      <c r="G951" s="11"/>
    </row>
    <row r="952" spans="1:7">
      <c r="A952" s="10"/>
      <c r="B952" s="11"/>
      <c r="C952" s="11"/>
      <c r="D952" s="11"/>
      <c r="E952" s="11"/>
      <c r="F952" s="11"/>
      <c r="G952" s="11"/>
    </row>
    <row r="953" spans="1:7">
      <c r="A953" s="10"/>
      <c r="B953" s="11"/>
      <c r="C953" s="11"/>
      <c r="D953" s="11"/>
      <c r="E953" s="11"/>
      <c r="F953" s="11"/>
      <c r="G953" s="11"/>
    </row>
    <row r="954" spans="1:7">
      <c r="A954" s="10"/>
      <c r="B954" s="11"/>
      <c r="C954" s="11"/>
      <c r="D954" s="11"/>
      <c r="E954" s="11"/>
      <c r="F954" s="11"/>
      <c r="G954" s="11"/>
    </row>
    <row r="955" spans="1:7">
      <c r="A955" s="10"/>
      <c r="B955" s="11"/>
      <c r="C955" s="11"/>
      <c r="D955" s="11"/>
      <c r="E955" s="11"/>
      <c r="F955" s="11"/>
      <c r="G955" s="11"/>
    </row>
    <row r="956" spans="1:7">
      <c r="A956" s="10"/>
      <c r="B956" s="11"/>
      <c r="C956" s="11"/>
      <c r="D956" s="11"/>
      <c r="E956" s="11"/>
      <c r="F956" s="11"/>
      <c r="G956" s="11"/>
    </row>
    <row r="957" spans="1:7">
      <c r="A957" s="10"/>
      <c r="B957" s="11"/>
      <c r="C957" s="11"/>
      <c r="D957" s="11"/>
      <c r="E957" s="11"/>
      <c r="F957" s="11"/>
      <c r="G957" s="11"/>
    </row>
    <row r="958" spans="1:7">
      <c r="A958" s="10"/>
      <c r="B958" s="11"/>
      <c r="C958" s="11"/>
      <c r="D958" s="11"/>
      <c r="E958" s="11"/>
      <c r="F958" s="11"/>
      <c r="G958" s="11"/>
    </row>
    <row r="959" spans="1:7">
      <c r="A959" s="10"/>
      <c r="B959" s="11"/>
      <c r="C959" s="11"/>
      <c r="D959" s="11"/>
      <c r="E959" s="11"/>
      <c r="F959" s="11"/>
      <c r="G959" s="11"/>
    </row>
    <row r="960" spans="1:7">
      <c r="A960" s="10"/>
      <c r="B960" s="11"/>
      <c r="C960" s="11"/>
      <c r="D960" s="11"/>
      <c r="E960" s="11"/>
      <c r="F960" s="11"/>
      <c r="G960" s="11"/>
    </row>
    <row r="961" spans="1:7">
      <c r="A961" s="10"/>
      <c r="B961" s="11"/>
      <c r="C961" s="11"/>
      <c r="D961" s="11"/>
      <c r="E961" s="11"/>
      <c r="F961" s="11"/>
      <c r="G961" s="11"/>
    </row>
    <row r="962" spans="1:7">
      <c r="A962" s="10"/>
      <c r="B962" s="11"/>
      <c r="C962" s="11"/>
      <c r="D962" s="11"/>
      <c r="E962" s="11"/>
      <c r="F962" s="11"/>
      <c r="G962" s="11"/>
    </row>
    <row r="963" spans="1:7">
      <c r="A963" s="10"/>
      <c r="B963" s="11"/>
      <c r="C963" s="11"/>
      <c r="D963" s="11"/>
      <c r="E963" s="11"/>
      <c r="F963" s="11"/>
      <c r="G963" s="11"/>
    </row>
    <row r="964" spans="1:7">
      <c r="A964" s="10"/>
      <c r="B964" s="11"/>
      <c r="C964" s="11"/>
      <c r="D964" s="11"/>
      <c r="E964" s="11"/>
      <c r="F964" s="11"/>
      <c r="G964" s="11"/>
    </row>
    <row r="965" spans="1:7">
      <c r="A965" s="10"/>
      <c r="B965" s="11"/>
      <c r="C965" s="11"/>
      <c r="D965" s="11"/>
      <c r="E965" s="11"/>
      <c r="F965" s="11"/>
      <c r="G965" s="11"/>
    </row>
    <row r="966" spans="1:7">
      <c r="A966" s="10"/>
      <c r="B966" s="11"/>
      <c r="C966" s="11"/>
      <c r="D966" s="11"/>
      <c r="E966" s="11"/>
      <c r="F966" s="11"/>
      <c r="G966" s="11"/>
    </row>
    <row r="967" spans="1:7">
      <c r="A967" s="10"/>
      <c r="B967" s="11"/>
      <c r="C967" s="11"/>
      <c r="D967" s="11"/>
      <c r="E967" s="11"/>
      <c r="F967" s="11"/>
      <c r="G967" s="11"/>
    </row>
    <row r="968" spans="1:7">
      <c r="A968" s="10"/>
      <c r="B968" s="11"/>
      <c r="C968" s="11"/>
      <c r="D968" s="11"/>
      <c r="E968" s="11"/>
      <c r="F968" s="11"/>
      <c r="G968" s="11"/>
    </row>
    <row r="969" spans="1:7">
      <c r="A969" s="10"/>
      <c r="B969" s="11"/>
      <c r="C969" s="11"/>
      <c r="D969" s="11"/>
      <c r="E969" s="11"/>
      <c r="F969" s="11"/>
      <c r="G969" s="11"/>
    </row>
    <row r="970" spans="1:7">
      <c r="A970" s="10"/>
      <c r="B970" s="11"/>
      <c r="C970" s="11"/>
      <c r="D970" s="11"/>
      <c r="E970" s="11"/>
      <c r="F970" s="11"/>
      <c r="G970" s="11"/>
    </row>
    <row r="971" spans="1:7">
      <c r="A971" s="10"/>
      <c r="B971" s="11"/>
      <c r="C971" s="11"/>
      <c r="D971" s="11"/>
      <c r="E971" s="11"/>
      <c r="F971" s="11"/>
      <c r="G971" s="11"/>
    </row>
    <row r="972" spans="1:7">
      <c r="A972" s="10"/>
      <c r="B972" s="11"/>
      <c r="C972" s="11"/>
      <c r="D972" s="11"/>
      <c r="E972" s="11"/>
      <c r="F972" s="11"/>
      <c r="G972" s="11"/>
    </row>
    <row r="973" spans="1:7">
      <c r="A973" s="10"/>
      <c r="B973" s="11"/>
      <c r="C973" s="11"/>
      <c r="D973" s="11"/>
      <c r="E973" s="11"/>
      <c r="F973" s="11"/>
      <c r="G973" s="11"/>
    </row>
    <row r="974" spans="1:7">
      <c r="A974" s="10"/>
      <c r="B974" s="11"/>
      <c r="C974" s="11"/>
      <c r="D974" s="11"/>
      <c r="E974" s="11"/>
      <c r="F974" s="11"/>
      <c r="G974" s="11"/>
    </row>
    <row r="975" spans="1:7">
      <c r="A975" s="10"/>
      <c r="B975" s="11"/>
      <c r="C975" s="11"/>
      <c r="D975" s="11"/>
      <c r="E975" s="11"/>
      <c r="F975" s="11"/>
      <c r="G975" s="11"/>
    </row>
    <row r="976" spans="1:7">
      <c r="A976" s="10"/>
      <c r="B976" s="11"/>
      <c r="C976" s="11"/>
      <c r="D976" s="11"/>
      <c r="E976" s="11"/>
      <c r="F976" s="11"/>
      <c r="G976" s="11"/>
    </row>
    <row r="977" spans="1:7">
      <c r="A977" s="10"/>
      <c r="B977" s="11"/>
      <c r="C977" s="11"/>
      <c r="D977" s="11"/>
      <c r="E977" s="11"/>
      <c r="F977" s="11"/>
      <c r="G977" s="11"/>
    </row>
    <row r="978" spans="1:7">
      <c r="A978" s="10"/>
      <c r="B978" s="11"/>
      <c r="C978" s="11"/>
      <c r="D978" s="11"/>
      <c r="E978" s="11"/>
      <c r="F978" s="11"/>
      <c r="G978" s="11"/>
    </row>
    <row r="979" spans="1:7">
      <c r="A979" s="10"/>
      <c r="B979" s="11"/>
      <c r="C979" s="11"/>
      <c r="D979" s="11"/>
      <c r="E979" s="11"/>
      <c r="F979" s="11"/>
      <c r="G979" s="11"/>
    </row>
    <row r="980" spans="1:7">
      <c r="A980" s="10"/>
      <c r="B980" s="11"/>
      <c r="C980" s="11"/>
      <c r="D980" s="11"/>
      <c r="E980" s="11"/>
      <c r="F980" s="11"/>
      <c r="G980" s="11"/>
    </row>
    <row r="981" spans="1:7">
      <c r="A981" s="10"/>
      <c r="B981" s="11"/>
      <c r="C981" s="11"/>
      <c r="D981" s="11"/>
      <c r="E981" s="11"/>
      <c r="F981" s="11"/>
      <c r="G981" s="11"/>
    </row>
    <row r="982" spans="1:7">
      <c r="A982" s="10"/>
      <c r="B982" s="11"/>
      <c r="C982" s="11"/>
      <c r="D982" s="11"/>
      <c r="E982" s="11"/>
      <c r="F982" s="11"/>
      <c r="G982" s="11"/>
    </row>
    <row r="983" spans="1:7">
      <c r="A983" s="10"/>
      <c r="B983" s="11"/>
      <c r="C983" s="11"/>
      <c r="D983" s="11"/>
      <c r="E983" s="11"/>
      <c r="F983" s="11"/>
      <c r="G983" s="11"/>
    </row>
    <row r="984" spans="1:7">
      <c r="A984" s="10"/>
      <c r="B984" s="11"/>
      <c r="C984" s="11"/>
      <c r="D984" s="11"/>
      <c r="E984" s="11"/>
      <c r="F984" s="11"/>
      <c r="G984" s="11"/>
    </row>
    <row r="985" spans="1:7">
      <c r="A985" s="10"/>
      <c r="B985" s="11"/>
      <c r="C985" s="11"/>
      <c r="D985" s="11"/>
      <c r="E985" s="11"/>
      <c r="F985" s="11"/>
      <c r="G985" s="11"/>
    </row>
    <row r="986" spans="1:7">
      <c r="A986" s="10"/>
      <c r="B986" s="11"/>
      <c r="C986" s="11"/>
      <c r="D986" s="11"/>
      <c r="E986" s="11"/>
      <c r="F986" s="11"/>
      <c r="G986" s="11"/>
    </row>
    <row r="987" spans="1:7">
      <c r="A987" s="10"/>
      <c r="B987" s="11"/>
      <c r="C987" s="11"/>
      <c r="D987" s="11"/>
      <c r="E987" s="11"/>
      <c r="F987" s="11"/>
      <c r="G987" s="11"/>
    </row>
    <row r="988" spans="1:7">
      <c r="A988" s="10"/>
      <c r="B988" s="11"/>
      <c r="C988" s="11"/>
      <c r="D988" s="11"/>
      <c r="E988" s="11"/>
      <c r="F988" s="11"/>
      <c r="G988" s="11"/>
    </row>
    <row r="989" spans="1:7">
      <c r="A989" s="10"/>
      <c r="B989" s="11"/>
      <c r="C989" s="11"/>
      <c r="D989" s="11"/>
      <c r="E989" s="11"/>
      <c r="F989" s="11"/>
      <c r="G989" s="11"/>
    </row>
    <row r="990" spans="1:7">
      <c r="A990" s="10"/>
      <c r="B990" s="11"/>
      <c r="C990" s="11"/>
      <c r="D990" s="11"/>
      <c r="E990" s="11"/>
      <c r="F990" s="11"/>
      <c r="G990" s="11"/>
    </row>
    <row r="991" spans="1:7">
      <c r="A991" s="10"/>
      <c r="B991" s="11"/>
      <c r="C991" s="11"/>
      <c r="D991" s="11"/>
      <c r="E991" s="11"/>
      <c r="F991" s="11"/>
      <c r="G991" s="11"/>
    </row>
    <row r="992" spans="1:7">
      <c r="A992" s="10"/>
      <c r="B992" s="11"/>
      <c r="C992" s="11"/>
      <c r="D992" s="11"/>
      <c r="E992" s="11"/>
      <c r="F992" s="11"/>
      <c r="G992" s="11"/>
    </row>
    <row r="993" spans="1:7">
      <c r="A993" s="10"/>
      <c r="B993" s="11"/>
      <c r="D993" s="11"/>
      <c r="E993" s="11"/>
      <c r="F993" s="11"/>
      <c r="G993" s="11"/>
    </row>
    <row r="994" spans="1:7">
      <c r="A994" s="10"/>
      <c r="B994" s="11"/>
      <c r="C994" s="11"/>
      <c r="D994" s="11"/>
      <c r="E994" s="11"/>
      <c r="F994" s="11"/>
      <c r="G994" s="11"/>
    </row>
    <row r="995" spans="1:7">
      <c r="A995" s="10"/>
      <c r="B995" s="11"/>
      <c r="C995" s="11"/>
      <c r="D995" s="11"/>
      <c r="E995" s="11"/>
      <c r="F995" s="11"/>
      <c r="G995" s="11"/>
    </row>
    <row r="996" spans="1:7">
      <c r="A996" s="10"/>
      <c r="B996" s="11"/>
      <c r="C996" s="11"/>
      <c r="D996" s="11"/>
      <c r="E996" s="11"/>
      <c r="F996" s="11"/>
      <c r="G996" s="11"/>
    </row>
    <row r="997" spans="1:7">
      <c r="A997" s="10"/>
      <c r="B997" s="11"/>
      <c r="C997" s="11"/>
      <c r="D997" s="11"/>
      <c r="E997" s="11"/>
      <c r="F997" s="11"/>
      <c r="G997" s="11"/>
    </row>
    <row r="998" spans="1:7">
      <c r="A998" s="10"/>
      <c r="B998" s="11"/>
      <c r="C998" s="11"/>
      <c r="D998" s="11"/>
      <c r="E998" s="11"/>
      <c r="F998" s="11"/>
      <c r="G998" s="11"/>
    </row>
    <row r="999" spans="1:7">
      <c r="A999" s="10"/>
      <c r="B999" s="11"/>
      <c r="C999" s="11"/>
      <c r="D999" s="11"/>
      <c r="E999" s="11"/>
      <c r="F999" s="11"/>
      <c r="G999" s="11"/>
    </row>
    <row r="1000" spans="1:7">
      <c r="A1000" s="10"/>
      <c r="B1000" s="11"/>
      <c r="C1000" s="11"/>
      <c r="D1000" s="11"/>
      <c r="E1000" s="11"/>
      <c r="F1000" s="11"/>
      <c r="G1000" s="11"/>
    </row>
    <row r="1001" spans="1:7">
      <c r="A1001" s="10"/>
      <c r="B1001" s="11"/>
      <c r="C1001" s="11"/>
      <c r="D1001" s="11"/>
      <c r="E1001" s="11"/>
      <c r="F1001" s="11"/>
      <c r="G1001" s="11"/>
    </row>
    <row r="1002" spans="1:7">
      <c r="A1002" s="10"/>
      <c r="B1002" s="11"/>
      <c r="C1002" s="11"/>
      <c r="D1002" s="11"/>
      <c r="E1002" s="11"/>
      <c r="F1002" s="11"/>
      <c r="G1002" s="11"/>
    </row>
    <row r="1003" spans="1:7">
      <c r="A1003" s="10"/>
      <c r="B1003" s="11"/>
      <c r="C1003" s="11"/>
      <c r="D1003" s="11"/>
      <c r="E1003" s="11"/>
      <c r="F1003" s="11"/>
      <c r="G1003" s="11"/>
    </row>
    <row r="1004" spans="1:7">
      <c r="A1004" s="10"/>
      <c r="B1004" s="11"/>
      <c r="C1004" s="11"/>
      <c r="D1004" s="11"/>
      <c r="E1004" s="11"/>
      <c r="F1004" s="11"/>
      <c r="G1004" s="11"/>
    </row>
    <row r="1005" spans="1:7">
      <c r="A1005" s="10"/>
      <c r="B1005" s="11"/>
      <c r="C1005" s="11"/>
      <c r="D1005" s="11"/>
      <c r="E1005" s="11"/>
      <c r="F1005" s="11"/>
      <c r="G1005" s="11"/>
    </row>
    <row r="1006" spans="1:7">
      <c r="B1006" s="11"/>
      <c r="C1006" s="11"/>
      <c r="D1006" s="11"/>
      <c r="E1006" s="11"/>
      <c r="F1006" s="11"/>
      <c r="G1006" s="11"/>
    </row>
    <row r="1007" spans="1:7">
      <c r="A1007" s="10"/>
      <c r="B1007" s="11"/>
      <c r="C1007" s="11"/>
      <c r="D1007" s="11"/>
      <c r="E1007" s="11"/>
      <c r="F1007" s="11"/>
      <c r="G1007" s="11"/>
    </row>
    <row r="1008" spans="1:7">
      <c r="A1008" s="10"/>
      <c r="B1008" s="11"/>
      <c r="C1008" s="11"/>
      <c r="D1008" s="11"/>
      <c r="E1008" s="11"/>
      <c r="F1008" s="11"/>
      <c r="G1008" s="11"/>
    </row>
    <row r="1009" spans="1:7">
      <c r="A1009" s="10"/>
      <c r="B1009" s="11"/>
      <c r="C1009" s="11"/>
      <c r="D1009" s="11"/>
      <c r="E1009" s="11"/>
      <c r="F1009" s="11"/>
      <c r="G1009" s="11"/>
    </row>
    <row r="1010" spans="1:7">
      <c r="A1010" s="10"/>
      <c r="B1010" s="11"/>
      <c r="C1010" s="11"/>
      <c r="D1010" s="11"/>
      <c r="E1010" s="11"/>
      <c r="F1010" s="11"/>
      <c r="G1010" s="11"/>
    </row>
    <row r="1011" spans="1:7">
      <c r="A1011" s="10"/>
      <c r="B1011" s="11"/>
      <c r="C1011" s="11"/>
      <c r="D1011" s="11"/>
      <c r="E1011" s="11"/>
      <c r="F1011" s="11"/>
      <c r="G1011" s="11"/>
    </row>
    <row r="1012" spans="1:7">
      <c r="A1012" s="10"/>
      <c r="B1012" s="11"/>
      <c r="C1012" s="11"/>
      <c r="D1012" s="11"/>
      <c r="E1012" s="11"/>
      <c r="F1012" s="11"/>
      <c r="G1012" s="11"/>
    </row>
    <row r="1013" spans="1:7">
      <c r="A1013" s="10"/>
      <c r="B1013" s="11"/>
      <c r="C1013" s="11"/>
      <c r="D1013" s="11"/>
      <c r="E1013" s="11"/>
      <c r="F1013" s="11"/>
      <c r="G1013" s="11"/>
    </row>
    <row r="1014" spans="1:7">
      <c r="A1014" s="10"/>
      <c r="B1014" s="11"/>
      <c r="C1014" s="11"/>
      <c r="D1014" s="11"/>
      <c r="E1014" s="11"/>
      <c r="F1014" s="11"/>
      <c r="G1014" s="11"/>
    </row>
    <row r="1015" spans="1:7">
      <c r="A1015" s="10"/>
      <c r="B1015" s="11"/>
      <c r="C1015" s="3"/>
      <c r="D1015" s="11"/>
      <c r="E1015" s="11"/>
      <c r="F1015" s="11"/>
      <c r="G1015" s="11"/>
    </row>
    <row r="1016" spans="1:7">
      <c r="A1016" s="10"/>
      <c r="B1016" s="11"/>
      <c r="C1016" s="3"/>
      <c r="D1016" s="11"/>
      <c r="E1016" s="11"/>
      <c r="F1016" s="11"/>
      <c r="G1016" s="11"/>
    </row>
    <row r="1017" spans="1:7">
      <c r="A1017" s="10"/>
      <c r="B1017" s="11"/>
      <c r="C1017" s="3"/>
      <c r="D1017" s="11"/>
      <c r="E1017" s="11"/>
      <c r="F1017" s="11"/>
      <c r="G1017" s="1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.btnGraphGenerate_Click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8</xdr:col>
                    <xdr:colOff>600075</xdr:colOff>
                    <xdr:row>40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nsaction"/>
  <dimension ref="A1:D1"/>
  <sheetViews>
    <sheetView workbookViewId="0"/>
  </sheetViews>
  <sheetFormatPr defaultRowHeight="15"/>
  <cols>
    <col min="1" max="1" width="21.42578125" bestFit="1" customWidth="1"/>
    <col min="2" max="2" width="10.7109375" bestFit="1" customWidth="1"/>
    <col min="3" max="3" width="12.7109375" bestFit="1" customWidth="1"/>
    <col min="4" max="4" width="10.28515625" bestFit="1" customWidth="1"/>
  </cols>
  <sheetData>
    <row r="1" spans="1:4">
      <c r="A1" s="6" t="s">
        <v>7</v>
      </c>
      <c r="B1" s="5" t="s">
        <v>8</v>
      </c>
      <c r="C1" s="4" t="s">
        <v>9</v>
      </c>
      <c r="D1" s="4" t="s">
        <v>10</v>
      </c>
    </row>
  </sheetData>
  <sortState ref="A2:D33">
    <sortCondition ref="B2:B3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ransaction.btnNAVGenerate_Click">
                <anchor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7</xdr:col>
                    <xdr:colOff>9525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V"/>
  <dimension ref="A1:J2"/>
  <sheetViews>
    <sheetView tabSelected="1" workbookViewId="0"/>
  </sheetViews>
  <sheetFormatPr defaultRowHeight="15"/>
  <cols>
    <col min="1" max="1" width="10.7109375" style="8" bestFit="1" customWidth="1"/>
    <col min="2" max="2" width="11.7109375" style="11" bestFit="1" customWidth="1"/>
    <col min="3" max="3" width="10.140625" style="11" bestFit="1" customWidth="1"/>
    <col min="4" max="4" width="9.5703125" style="9" bestFit="1" customWidth="1"/>
    <col min="5" max="7" width="10.42578125" style="11" bestFit="1" customWidth="1"/>
    <col min="8" max="8" width="11.7109375" style="11" bestFit="1" customWidth="1"/>
    <col min="9" max="9" width="10.42578125" style="10" hidden="1" customWidth="1"/>
  </cols>
  <sheetData>
    <row r="1" spans="1:10">
      <c r="A1" s="8" t="s">
        <v>0</v>
      </c>
      <c r="B1" s="11" t="s">
        <v>11</v>
      </c>
      <c r="C1" s="11" t="s">
        <v>12</v>
      </c>
      <c r="D1" s="9" t="s">
        <v>13</v>
      </c>
      <c r="E1" s="11" t="s">
        <v>14</v>
      </c>
      <c r="F1" s="11" t="s">
        <v>15</v>
      </c>
      <c r="G1" s="11" t="s">
        <v>4</v>
      </c>
      <c r="H1" s="11" t="s">
        <v>6</v>
      </c>
      <c r="I1" s="10" t="s">
        <v>16</v>
      </c>
      <c r="J1" s="7"/>
    </row>
    <row r="2" spans="1:10" hidden="1">
      <c r="B2" s="11" t="e">
        <f t="shared" ref="B2" si="0">G2+H2</f>
        <v>#N/A</v>
      </c>
      <c r="C2" s="11">
        <f>IFERROR(B2-B1-E2,0)</f>
        <v>0</v>
      </c>
      <c r="D2" s="9" t="e">
        <f t="shared" ref="D2" si="1">IF(ROW()=3,10,B2/F2)</f>
        <v>#N/A</v>
      </c>
      <c r="F2" s="11" t="e">
        <f t="shared" ref="F2" si="2">IF(ROW()=3,B2/D2,F1+(E2/D1))</f>
        <v>#VALUE!</v>
      </c>
      <c r="G2" s="11" t="e">
        <f>IFERROR(VLOOKUP(A2,Data!A:G,5,FALSE),VLOOKUP(I2,Data!A:G,5,FALSE))</f>
        <v>#N/A</v>
      </c>
      <c r="H2" s="11" t="e">
        <f>IFERROR(VLOOKUP(A2,Data!A:G,7,FALSE),VLOOKUP(I2,Data!A:G,7,FALSE))</f>
        <v>#N/A</v>
      </c>
      <c r="I2" s="10">
        <f t="array" ref="I2">MAX(IF(Data!A:A&lt;NAV!A2,Data!A:A))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Transaction</vt:lpstr>
      <vt:lpstr>NAV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AnaTo</dc:creator>
  <cp:lastModifiedBy>Woraphot Chokratanasombat</cp:lastModifiedBy>
  <dcterms:created xsi:type="dcterms:W3CDTF">2011-10-07T03:24:59Z</dcterms:created>
  <dcterms:modified xsi:type="dcterms:W3CDTF">2014-05-09T13:34:21Z</dcterms:modified>
</cp:coreProperties>
</file>