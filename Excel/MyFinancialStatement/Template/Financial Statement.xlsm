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195" windowHeight="8445"/>
  </bookViews>
  <sheets>
    <sheet name="New Data" sheetId="6" r:id="rId1"/>
    <sheet name="Financial Highlight" sheetId="1" r:id="rId2"/>
    <sheet name="Financial Ratio" sheetId="2" r:id="rId3"/>
    <sheet name="Balance Sheet" sheetId="3" r:id="rId4"/>
    <sheet name="Income Statement" sheetId="4" r:id="rId5"/>
    <sheet name="Cash Flow Statement" sheetId="5" r:id="rId6"/>
    <sheet name="Temp" sheetId="7" r:id="rId7"/>
    <sheet name="ItemLookup" sheetId="9" r:id="rId8"/>
  </sheets>
  <functionGroups builtInGroupCount="17"/>
  <definedNames>
    <definedName name="_xlnm.Print_Area" localSheetId="1">'Financial Highlight'!$A$1:$W$176</definedName>
  </definedNames>
  <calcPr calcId="144525"/>
</workbook>
</file>

<file path=xl/calcChain.xml><?xml version="1.0" encoding="utf-8"?>
<calcChain xmlns="http://schemas.openxmlformats.org/spreadsheetml/2006/main">
  <c r="A25" i="2" l="1"/>
  <c r="A24" i="2"/>
  <c r="A23" i="2" l="1"/>
  <c r="A22" i="2"/>
  <c r="A21" i="2" l="1"/>
  <c r="A35" i="2"/>
  <c r="A18" i="2"/>
  <c r="A9" i="2" l="1"/>
  <c r="A3" i="2"/>
  <c r="A4" i="2" s="1"/>
  <c r="A7" i="2" l="1"/>
  <c r="A5" i="2"/>
  <c r="A10" i="2"/>
  <c r="A55" i="2"/>
  <c r="A54" i="2"/>
  <c r="A53" i="2"/>
  <c r="A29" i="2" s="1"/>
  <c r="A36" i="2"/>
  <c r="A34" i="2"/>
  <c r="A33" i="2"/>
  <c r="A32" i="2"/>
  <c r="A26" i="2"/>
  <c r="A27" i="2" s="1"/>
  <c r="A17" i="2"/>
  <c r="A14" i="2"/>
  <c r="A13" i="2"/>
  <c r="A12" i="2"/>
  <c r="A11" i="2"/>
  <c r="A8" i="2"/>
  <c r="A1" i="2"/>
  <c r="A28" i="2" l="1"/>
</calcChain>
</file>

<file path=xl/comments1.xml><?xml version="1.0" encoding="utf-8"?>
<comments xmlns="http://schemas.openxmlformats.org/spreadsheetml/2006/main">
  <authors>
    <author>Fookmi</author>
    <author>Bobe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อัตรากำไรขั้นต้น</t>
        </r>
        <r>
          <rPr>
            <sz val="9"/>
            <color indexed="81"/>
            <rFont val="Tahoma"/>
            <family val="2"/>
          </rPr>
          <t xml:space="preserve">
สามารถบอกได้ถึงภาวะการแข่งขันของตลาด (แล้วแต่ประเภทธุรกิจ)
โดยทั่วไปแล้วถ้าอัตรากำไรขั้นต้นมากแสดงว่าธุรกิจมีการแข่งขั้นน้อย
(คู่แข่งน้อย, เป็นผู้นำตลาด, ฯลฯ)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ค่าใช้จ่ายทั่วไป / กำไรขั้นต้น</t>
        </r>
        <r>
          <rPr>
            <sz val="9"/>
            <color indexed="81"/>
            <rFont val="Tahoma"/>
            <family val="2"/>
          </rPr>
          <t xml:space="preserve">
อัตราค่าใช้จ่ายนี้ แต่ละธุรกิจจะแตกต่างกันไป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 ยิ่งน้อยยิ่งดี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อัตราค่าวิจัยและพัฒนา / กำไรขั้นต้น</t>
        </r>
        <r>
          <rPr>
            <sz val="9"/>
            <color indexed="81"/>
            <rFont val="Tahoma"/>
            <family val="2"/>
          </rPr>
          <t xml:space="preserve">
ค่าใช้จ่ายในการวิจัยและพัฒนาสินค้า และผลิตภัณฑ์ใหม่
ถ้าค่ามากแสดงว่าสินค้าตกรุ่นเร็ว </t>
        </r>
        <r>
          <rPr>
            <b/>
            <i/>
            <u/>
            <sz val="9"/>
            <color indexed="81"/>
            <rFont val="Tahoma"/>
            <family val="2"/>
          </rPr>
          <t>ไม่ดีแน่ในระยะยาว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 ยิ่งน้อยยิ่งดี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อัตราค่าเสื่อมราคา / กำไรขั้นต้น</t>
        </r>
        <r>
          <rPr>
            <sz val="9"/>
            <color indexed="81"/>
            <rFont val="Tahoma"/>
            <family val="2"/>
          </rPr>
          <t xml:space="preserve">
เป็นการคิดต้นทุนของเครื่องจักร หรือเครื่องมือที่ใช้ในการผลิด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 ยิ่งน้อยยิ่งดี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อัตรากำไรจากการดำเนินงาน</t>
        </r>
        <r>
          <rPr>
            <sz val="9"/>
            <color indexed="81"/>
            <rFont val="Tahoma"/>
            <family val="2"/>
          </rPr>
          <t xml:space="preserve">
บอกถึงประสิทธิภาพในการทำกำไรของบริษัทโดยรวม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 xml:space="preserve">อัตราจ่ายดอกเบีย ต่อ กำไรจากการดำเนินงาน
</t>
        </r>
        <r>
          <rPr>
            <sz val="9"/>
            <color indexed="81"/>
            <rFont val="Tahoma"/>
            <family val="2"/>
          </rPr>
          <t xml:space="preserve">มีมากแสดงว่าบริษัทต้องกู้เงินมาลงทุนมาก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 ยิ่งน้อยยิ่งดี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อัตรากำไรสุทธิ</t>
        </r>
        <r>
          <rPr>
            <sz val="9"/>
            <color indexed="81"/>
            <rFont val="Tahoma"/>
            <family val="2"/>
          </rPr>
          <t xml:space="preserve">
สามารถบอกได้ถึงภาวะการแข่งขันของตลาด (แล้วแต่ประเภทธุรกิจ)
โดยทั่วไปแล้วถ้าอัตรากำไรแสดงว่าธุรกิจมีการแข่งขั้นน้อย
(คู่แข่งน้อย, เป็นผู้นำตลาด, ฯลฯ)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
เปรียบเที่ยกับบริษัทในธุกกินเดียวกันแล้ว ควรมีค่ามากกว่า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ผลตอบแทนส่วนของผู้ถือหุ้น</t>
        </r>
        <r>
          <rPr>
            <sz val="9"/>
            <color indexed="81"/>
            <rFont val="Tahoma"/>
            <family val="2"/>
          </rPr>
          <t xml:space="preserve">
บอกให้รู้ถึงผลตอบแทนที่ได้รับจากเงินลงทุนที่เราลงไป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ยิ่งมากยิ่งดี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ผลตอบแทนต่อทรัพย์สิน</t>
        </r>
        <r>
          <rPr>
            <sz val="9"/>
            <color indexed="81"/>
            <rFont val="Tahoma"/>
            <family val="2"/>
          </rPr>
          <t xml:space="preserve">
บอกให้รู้ถึงผลตอบแทนที่ได้รับจากทรัพย์สินของบริษัท
บอกได้ว่าบริษัทใช้ทรัพย์สินในการสร้างกำไรได้อย่างมีประสิทธิภาพเพียงใด
แต่ละประเภทธุรกิจจะมีค่าแตกต่างกัน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โดยทั่วไปแล้วยิ่งมากยิ่งดี แต่ถ้าเป็นกิจการขนาดใหญ่จะมีค่าไม่สูงมาก</t>
        </r>
      </text>
    </comment>
    <comment ref="B17" authorId="1">
      <text>
        <r>
          <rPr>
            <b/>
            <sz val="9"/>
            <color indexed="81"/>
            <rFont val="Tahoma"/>
            <family val="2"/>
          </rPr>
          <t>อัตราส่วนหมุนเวียน</t>
        </r>
        <r>
          <rPr>
            <sz val="9"/>
            <color indexed="81"/>
            <rFont val="Tahoma"/>
            <family val="2"/>
          </rPr>
          <t xml:space="preserve">
บอกถึงสภาพคล่องของบริษัท ยิ่งมาแสดงว่าบริษัทมีสภาพคล่องสูง
บอกถึงความสามารถให้การใช้คืนหนี้ระยะสั้น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โดยทั่วไปแล้วควรมีค่ามากกว่า 1
ต่ำกว่า 1 เป็นได้ว่าบริษัทอาจมีปัญหาในการจ่ายหนี้ระยะสั้น
แต่บริษัทชั้นดีก็สามารถมีค่าต่ำกว่าได้</t>
        </r>
      </text>
    </comment>
    <comment ref="B18" authorId="1">
      <text>
        <r>
          <rPr>
            <b/>
            <sz val="9"/>
            <color indexed="81"/>
            <rFont val="Tahoma"/>
            <family val="2"/>
          </rPr>
          <t>อัตราส่วนหมุนเวียนเร็ว</t>
        </r>
        <r>
          <rPr>
            <sz val="9"/>
            <color indexed="81"/>
            <rFont val="Tahoma"/>
            <family val="2"/>
          </rPr>
          <t xml:space="preserve">
แสดงให้เห็นวาบริษัทมีความสามารถชำระหนี้ระยะสั้นได้แค่ไหน
โดยไม่ต้องรอขายสินค้าออกไป
ถ้าต่ำมากแสดงว่าเงินอาจจมอยู่ในสินค้าคงคลัง
</t>
        </r>
        <r>
          <rPr>
            <i/>
            <sz val="9"/>
            <color indexed="81"/>
            <rFont val="Tahoma"/>
            <family val="2"/>
          </rPr>
          <t>วิธีการใช้งาน</t>
        </r>
        <r>
          <rPr>
            <sz val="9"/>
            <color indexed="81"/>
            <rFont val="Tahoma"/>
            <family val="2"/>
          </rPr>
          <t xml:space="preserve">
โดยทั่วไปแล้วควรมีค่ามากกว่า 1
ต่ำกว่า 1 เป็นได้ว่าบริษัทอาจมีปัญหาในการจ่ายหนี้ระยะสั้น
แต่บริษัทชั้นดีก็สามารถมีค่าต่ำกว่าได้</t>
        </r>
      </text>
    </comment>
    <comment ref="B21" authorId="1">
      <text>
        <r>
          <rPr>
            <b/>
            <sz val="9"/>
            <color indexed="81"/>
            <rFont val="Tahoma"/>
            <family val="2"/>
          </rPr>
          <t>ยอดขายสินค้าต่อวัน</t>
        </r>
      </text>
    </comment>
    <comment ref="B22" authorId="1">
      <text>
        <r>
          <rPr>
            <b/>
            <sz val="9"/>
            <color indexed="81"/>
            <rFont val="Tahoma"/>
            <family val="2"/>
          </rPr>
          <t>อัตรการหมุนเวียนสินทรัพย์</t>
        </r>
        <r>
          <rPr>
            <sz val="9"/>
            <color indexed="81"/>
            <rFont val="Tahoma"/>
            <family val="2"/>
          </rPr>
          <t xml:space="preserve">
บอกถึงประสิทธภาพในการใช้ทรัพย์สินในการสร้างรายได้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
ใช้เปรียบเที่กับบริษัทอื่นที่อยู่ในธุรกิจเดียวกัน</t>
        </r>
      </text>
    </comment>
    <comment ref="B23" authorId="1">
      <text>
        <r>
          <rPr>
            <b/>
            <sz val="9"/>
            <color indexed="81"/>
            <rFont val="Tahoma"/>
            <family val="2"/>
          </rPr>
          <t>อัตรการหมุนเวียนสินทรัพย์ถาวร</t>
        </r>
        <r>
          <rPr>
            <sz val="9"/>
            <color indexed="81"/>
            <rFont val="Tahoma"/>
            <family val="2"/>
          </rPr>
          <t xml:space="preserve">
บอกถึงประสิทธภาพในการใช้ทรัพย์สินถาวรในการสร้างรายได้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
ใช้เปรียบเที่กับบริษัทอื่นที่อยู่ในธุรกิจเดียวกัน</t>
        </r>
      </text>
    </comment>
    <comment ref="B24" authorId="1">
      <text>
        <r>
          <rPr>
            <b/>
            <sz val="9"/>
            <color indexed="81"/>
            <rFont val="Tahoma"/>
            <family val="2"/>
          </rPr>
          <t>ระยะเวลาเรียกเก็บหนี้</t>
        </r>
        <r>
          <rPr>
            <sz val="9"/>
            <color indexed="81"/>
            <rFont val="Tahoma"/>
            <family val="2"/>
          </rPr>
          <t xml:space="preserve">
เป็นตัวบอกจำนวนวันฌฉลี่ยที่ได้รับเงินจากลูกค้า หลังจากขายสินค้าแล้ว
หรือความเร็วในการชำระหนี้ของลูกค้า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 ยิ่งน้อยยิ่งดี</t>
        </r>
      </text>
    </comment>
    <comment ref="B25" authorId="1">
      <text>
        <r>
          <rPr>
            <b/>
            <sz val="9"/>
            <color indexed="81"/>
            <rFont val="Tahoma"/>
            <family val="2"/>
          </rPr>
          <t>ระยะเวลาในการชำระหนี้เจ้าหนี้การค้า</t>
        </r>
        <r>
          <rPr>
            <sz val="9"/>
            <color indexed="81"/>
            <rFont val="Tahoma"/>
            <family val="2"/>
          </rPr>
          <t xml:space="preserve">
บริษัทที่มีค่านี้สูงจะทำให้เงินสดหมุนเวียนเพิ่มขึ้น แต่เจ้าหนี้จะไม่พอใจถ้านานเกินไป</t>
        </r>
      </text>
    </comment>
    <comment ref="B26" authorId="1">
      <text>
        <r>
          <rPr>
            <b/>
            <sz val="9"/>
            <color indexed="81"/>
            <rFont val="Tahoma"/>
            <family val="2"/>
          </rPr>
          <t>อัตรส่วนหมุนเวียนสินค้าคงคลัง</t>
        </r>
        <r>
          <rPr>
            <sz val="9"/>
            <color indexed="81"/>
            <rFont val="Tahoma"/>
            <family val="2"/>
          </rPr>
          <t xml:space="preserve">
แสดงให้เห็นถึงจำนวนการขายสินค้า และการเติมวัตถุดิบในคลังสินค้า
เพื่อทดแทนสินค้าที่ขายไป และวัตถุดิบที่ใช้ไปในการผลิตสินค้า
</t>
        </r>
        <r>
          <rPr>
            <i/>
            <sz val="9"/>
            <color indexed="81"/>
            <rFont val="Tahoma"/>
            <family val="2"/>
          </rPr>
          <t>ความหมาย</t>
        </r>
        <r>
          <rPr>
            <sz val="9"/>
            <color indexed="81"/>
            <rFont val="Tahoma"/>
            <family val="2"/>
          </rPr>
          <t xml:space="preserve">
ตัวเลขยิ่งมากแสดงว่าจำนวนวันที่สินค้าหรือวัตถุดิบอยู่ในคลังสินค้าน้อยลง
ซึ่งแปลว่าบริษัทมีการจัดการสินค้าที่ดีขึ้น ผลที่ตามมาคือบริษัทจะมีเงินสดหมุนเวียนมาขึ้น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</t>
        </r>
      </text>
    </comment>
    <comment ref="B27" authorId="1">
      <text>
        <r>
          <rPr>
            <b/>
            <sz val="9"/>
            <color indexed="81"/>
            <rFont val="Tahoma"/>
            <family val="2"/>
          </rPr>
          <t>จำนวนวันของสินค้าคงคลัง</t>
        </r>
        <r>
          <rPr>
            <sz val="9"/>
            <color indexed="81"/>
            <rFont val="Tahoma"/>
            <family val="2"/>
          </rPr>
          <t xml:space="preserve">
บอกถึงจำนวนวันที่สินค้าหรือวัตถุดิบอยู่ในคลังสินค้าน้อยลง
ซึ่งแปลว่าบริษัทมีการจัดการสินค้าที่ดีขึ้น
ผลที่ตามมาคือบริษัทจะมีเงินสดหมุนเวียนมากขึ้น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 ยิ่งน้อยยิ่งดี</t>
        </r>
      </text>
    </comment>
    <comment ref="B28" authorId="1">
      <text>
        <r>
          <rPr>
            <b/>
            <sz val="9"/>
            <color indexed="81"/>
            <rFont val="Tahoma"/>
            <family val="2"/>
          </rPr>
          <t>วงจรการหมุนเวียนเงินสด</t>
        </r>
        <r>
          <rPr>
            <sz val="9"/>
            <color indexed="81"/>
            <rFont val="Tahoma"/>
            <family val="2"/>
          </rPr>
          <t xml:space="preserve">
เป็นตัวเลขที่บอกว่าเงินสดจะกลับมาหาบริษัทได้เร็วแค่ไหน
ตั้งแต่เริ่มสั่งวัตถุดิบถึงรับเงินจากลูกค้า
</t>
        </r>
      </text>
    </comment>
    <comment ref="B29" authorId="0">
      <text>
        <r>
          <rPr>
            <b/>
            <sz val="9"/>
            <color indexed="81"/>
            <rFont val="Tahoma"/>
            <family val="2"/>
          </rPr>
          <t>Fookmi:</t>
        </r>
        <r>
          <rPr>
            <sz val="9"/>
            <color indexed="81"/>
            <rFont val="Tahoma"/>
            <family val="2"/>
          </rPr>
          <t xml:space="preserve">
Revise me</t>
        </r>
      </text>
    </comment>
    <comment ref="B33" authorId="1">
      <text>
        <r>
          <rPr>
            <b/>
            <sz val="9"/>
            <color indexed="81"/>
            <rFont val="Tahoma"/>
            <family val="2"/>
          </rPr>
          <t>อัตราส่วนหนี้สินต่อส่วนผู้ถือหุ้น</t>
        </r>
        <r>
          <rPr>
            <sz val="9"/>
            <color indexed="81"/>
            <rFont val="Tahoma"/>
            <family val="2"/>
          </rPr>
          <t xml:space="preserve">
เป็นตัวบอกว่าบริษัทใช้หนี้สิน หรือเงินทุนในการดำเนินธุรกิจ
</t>
        </r>
        <r>
          <rPr>
            <i/>
            <sz val="9"/>
            <color indexed="81"/>
            <rFont val="Tahoma"/>
            <family val="2"/>
          </rPr>
          <t>วิธีการใช้งาน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</t>
        </r>
      </text>
    </comment>
    <comment ref="B34" authorId="1">
      <text>
        <r>
          <rPr>
            <b/>
            <sz val="9"/>
            <color indexed="81"/>
            <rFont val="Tahoma"/>
            <family val="2"/>
          </rPr>
          <t>อัตราส่วนหนี้สินระยะยาวต่อส่วนผู้ถือหุ้น</t>
        </r>
        <r>
          <rPr>
            <sz val="9"/>
            <color indexed="81"/>
            <rFont val="Tahoma"/>
            <family val="2"/>
          </rPr>
          <t xml:space="preserve">
เป็นตัวบอกว่าบริษัทใช้หนี้สิน หรือเงินทุนในการดำเนินธุรกิจ
</t>
        </r>
        <r>
          <rPr>
            <i/>
            <sz val="9"/>
            <color indexed="81"/>
            <rFont val="Tahoma"/>
            <family val="2"/>
          </rPr>
          <t>วิธีการใช้งาน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</t>
        </r>
      </text>
    </comment>
    <comment ref="B35" authorId="1">
      <text>
        <r>
          <rPr>
            <b/>
            <sz val="9"/>
            <color indexed="81"/>
            <rFont val="Tahoma"/>
            <family val="2"/>
          </rPr>
          <t>ความสามารถในการชำระหนี้ระยะยาว</t>
        </r>
        <r>
          <rPr>
            <sz val="9"/>
            <color indexed="81"/>
            <rFont val="Tahoma"/>
            <family val="2"/>
          </rPr>
          <t xml:space="preserve">
ตัวเลขที่ได้คือระยะเวลาในการชำระหนี้ระยะยาวของบริษัท
บริษัทที่ดีควรนำกำไรสุทธิมาใช้หนี้ได้หมดภายในเวลา 4-5 ปี</t>
        </r>
      </text>
    </comment>
    <comment ref="B36" authorId="0">
      <text>
        <r>
          <rPr>
            <b/>
            <sz val="9"/>
            <color indexed="81"/>
            <rFont val="Tahoma"/>
            <family val="2"/>
          </rPr>
          <t>ความสามารถในการจ่ายดอกเบี้ย</t>
        </r>
        <r>
          <rPr>
            <sz val="9"/>
            <color indexed="81"/>
            <rFont val="Tahoma"/>
            <family val="2"/>
          </rPr>
          <t xml:space="preserve">
บริษัที่ดีควรมีค่านี้สูง
ถ้าใกล้ หรือน้อยกว่า 1 แสดงว่าบริษัทอาจมีปัญหาในการจ่ายดอกเบี้ยได้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</t>
        </r>
      </text>
    </comment>
  </commentList>
</comments>
</file>

<file path=xl/sharedStrings.xml><?xml version="1.0" encoding="utf-8"?>
<sst xmlns="http://schemas.openxmlformats.org/spreadsheetml/2006/main" count="414" uniqueCount="337">
  <si>
    <t>CASH AND CASH EQUIVALENTS</t>
  </si>
  <si>
    <t>SHORT-TERM INVESTMENTS</t>
  </si>
  <si>
    <t>TRADE ACCOUNTS AND NOTES RECEIVABLE - NET</t>
  </si>
  <si>
    <t>OTHERS PARTIES</t>
  </si>
  <si>
    <t>INVENTORIES</t>
  </si>
  <si>
    <t>OTHER CURRENT ASSETS</t>
  </si>
  <si>
    <t>TOTAL CURRENT ASSETS</t>
  </si>
  <si>
    <t>INVESTMENT ACCOUNTED FOR USING COST METHOD</t>
  </si>
  <si>
    <t>LONG-TERM INVESTMENTS</t>
  </si>
  <si>
    <t>PROPERTY, PLANT AND EQUIPMENT - NET</t>
  </si>
  <si>
    <t>PROPERTY, PLANT AND EQUIPMENT</t>
  </si>
  <si>
    <t>INTANGIBLE ASSETS - NET</t>
  </si>
  <si>
    <t>OTHER NON-CURRENT ASSETS</t>
  </si>
  <si>
    <t>TOTAL NON-CURRENT ASSETS</t>
  </si>
  <si>
    <t>TOTAL ASSETS</t>
  </si>
  <si>
    <t>BANK OVERDRAFTS AND SHORT-TERM LOANS FROM FINANCIAL INSTITUTIONS</t>
  </si>
  <si>
    <t>TRADE ACCOUNTS AND NOTES PAYABLE - NET</t>
  </si>
  <si>
    <t>RELATED PARTIES</t>
  </si>
  <si>
    <t>OTHER SHORT TERM ACCOUNT PAYABLES - NET</t>
  </si>
  <si>
    <t>CURRENT PORTION OF LONG-TERM LIABILITIES</t>
  </si>
  <si>
    <t>LONG-TERM BORROWINGS FROM FINANCIAL INSTITUTIONS</t>
  </si>
  <si>
    <t>OTHER LONG-TERM LIABILITIES</t>
  </si>
  <si>
    <t>OTHER CURRENT LIABILITIES</t>
  </si>
  <si>
    <t>CORPORATE INCOME TAX PAYABLE</t>
  </si>
  <si>
    <t>ACCRUED EXPENSE</t>
  </si>
  <si>
    <t>OTHER CURRENT LIABILITIES - OTHERS</t>
  </si>
  <si>
    <t>TOTAL CURRENT LIABILITIES</t>
  </si>
  <si>
    <t>LONG-TERM LIABILITIES - NET OF CURRENT PORTION</t>
  </si>
  <si>
    <t>TOTAL NON-CURRENT LIABILITIES</t>
  </si>
  <si>
    <t>TOTAL LIABILITIES</t>
  </si>
  <si>
    <t>AUTHORIZED SHARE CAPITAL</t>
  </si>
  <si>
    <t>ORDINARY SHARES</t>
  </si>
  <si>
    <t>ISSUED AND FULLY PAID-UP SHARE CAPITAL</t>
  </si>
  <si>
    <t>PREMIUM (DISCOUNT) ON SHARE CAPITAL</t>
  </si>
  <si>
    <t>RETAINED EARNINGS (DEFICIT)</t>
  </si>
  <si>
    <t>RETAINED EARNINGS - APPROPRIATED</t>
  </si>
  <si>
    <t>LEGAL AND STATUTORY RESERVES</t>
  </si>
  <si>
    <t>RETAINED EARNINGS (DEFICIT) - UNAPPROPRIATED</t>
  </si>
  <si>
    <t>EQUITY ATTRIBUTABLE TO EQUITY HOLDERS OF PARENT</t>
  </si>
  <si>
    <t>TOTAL EQUITY</t>
  </si>
  <si>
    <t xml:space="preserve">TOTAL LIABILITIES SHAREHOLDERS` EQUITY </t>
  </si>
  <si>
    <t>REVENUES FROM SALE OF GOODS AND RENDERING OF SERVICES</t>
  </si>
  <si>
    <t>REVENUES FROM SALES</t>
  </si>
  <si>
    <t>REVENUES FROM RENDERING OF SERVICES</t>
  </si>
  <si>
    <t>OTHER INCOME</t>
  </si>
  <si>
    <t>OTHER INCOMES - OTHERS</t>
  </si>
  <si>
    <t>TOTAL REVENUES</t>
  </si>
  <si>
    <t>COST OF SALE OF GOODS AND RENDERING OF SERVICES</t>
  </si>
  <si>
    <t>COST OF GOODS SOLD</t>
  </si>
  <si>
    <t>COST OF THE RENDERING OF SERVICES</t>
  </si>
  <si>
    <t>SELLING AND ADMINISTRATIVE EXPENSES</t>
  </si>
  <si>
    <t>SELLING EXPENSES</t>
  </si>
  <si>
    <t>ADMINISTRATIVE EXPENSES</t>
  </si>
  <si>
    <t>OTHER EXPENSES</t>
  </si>
  <si>
    <t>LOSS ON EXCHANGE</t>
  </si>
  <si>
    <t>OTHER EXPENSES - OTHER</t>
  </si>
  <si>
    <t>MANAGEMENT AND DIRECTORS` REMUNERATION</t>
  </si>
  <si>
    <t>TOTAL EXPENSES</t>
  </si>
  <si>
    <t>PROFIT (LOSS) BEFORE INTEREST EXPENSES AND FINANCE COSTS AND INCOME TAX EXPENSES</t>
  </si>
  <si>
    <t>INTEREST EXPENSES AND FINANCE COSTS</t>
  </si>
  <si>
    <t>INCOME TAX EXPENSES</t>
  </si>
  <si>
    <t>NET PROFIT (LOSS)</t>
  </si>
  <si>
    <t>PROFIT (LOSS) ATTRIBUTABLE TO EQUITY HOLDERS OF THE PARENT</t>
  </si>
  <si>
    <t>BASIC EARNINGS PER SHARE</t>
  </si>
  <si>
    <t>DILUTED EARNINGS PER SHARE</t>
  </si>
  <si>
    <t>PERIOD NET PROFIT (LOSS)/ATTRIBUTABLE TO EQUITY HOLDERS OF PARENT</t>
  </si>
  <si>
    <t>DEPRECIATION AND AMORTISATION</t>
  </si>
  <si>
    <t>DEPRECIATION</t>
  </si>
  <si>
    <t>AMORTISATION</t>
  </si>
  <si>
    <t>BAD DEBT AND DOUBTFUL ACCOUNTS (REVERSAL)</t>
  </si>
  <si>
    <t>ALLOWANCE OF OBSOLESCENCE (REVERSAL)</t>
  </si>
  <si>
    <t>UNREALISED (GAIN) LOSS ON FOREIGN CURRENCY EXCHANGE</t>
  </si>
  <si>
    <t>INTEREST PAID</t>
  </si>
  <si>
    <t>OTHER RECONCILIATION ITEMS</t>
  </si>
  <si>
    <t>CASH FLOWS FROM (USED IN) OPERATIONS BEFORE CHANGES IN OPERATING ASSETS AND LIAB</t>
  </si>
  <si>
    <t>(INCREASE) DECREASE IN OPERATING ASSETS</t>
  </si>
  <si>
    <t>(INCREASE) DECREASE IN TRADE ACCOUNT AND NOTE RECEIVABLES - OTHERS</t>
  </si>
  <si>
    <t>(INCREASE) DECREASE IN INVENTORIES</t>
  </si>
  <si>
    <t>(INCREASE) DECREASE IN OTHER CURRENT ASSETS</t>
  </si>
  <si>
    <t>INCREASE (DECREASE) IN OPERATING LIABILITIES</t>
  </si>
  <si>
    <t>INCREASE (DECREASE) IN TRADE ACCOUNT AND NOTE PAYABLES - OTHERS</t>
  </si>
  <si>
    <t>INCREASE (DECREASE) IN OTHER CURRENT LIABILITIES</t>
  </si>
  <si>
    <t>OPERATING ASSET AND OPERATING LIABILITIES - NET</t>
  </si>
  <si>
    <t>INCOME TAX PAID</t>
  </si>
  <si>
    <t>NET CASH PROVIDED BY (USED IN) OPERATING ACTIVITIES</t>
  </si>
  <si>
    <t>(INCREASE) DECREASE IN OTHER INVESTMENT</t>
  </si>
  <si>
    <t>(INCREASE) DECREASE IN PROPERTY, PLANT AND EQUIPMENT</t>
  </si>
  <si>
    <t>SALES OF PROPERTY, PLANT AND EQUIPMENT</t>
  </si>
  <si>
    <t>PURCHASES OF PROPERTY, PLANT AND EQUIPMENT</t>
  </si>
  <si>
    <t>(INCREASE) DECREASE IN INTANGIBLE ASSETS</t>
  </si>
  <si>
    <t>(INCREASE) IN INTANGIBLE ASSETS</t>
  </si>
  <si>
    <t>INTEREST RECEIVED</t>
  </si>
  <si>
    <t>OTHER ITEMS</t>
  </si>
  <si>
    <t>NET CASH PROVIDED BY (USED IN) INVESTING ACTIVITIES</t>
  </si>
  <si>
    <t>INCREASE (DECREASE) IN LONG-TERM BORROWINGS FROM BANKS</t>
  </si>
  <si>
    <t>INCREASE (DECREASE) IN SHORT-TERM BORROWINGS FROM OTHERS</t>
  </si>
  <si>
    <t>PROCEEDS IN ADVANCE FROM SHARE SUBSCRIPTION</t>
  </si>
  <si>
    <t>DIVIDEND PAID</t>
  </si>
  <si>
    <t>NET CASH PROVIDED BY (USED IN) FINANCING ACTIVITIES</t>
  </si>
  <si>
    <t>NET INCREASE (DECREASE) IN CASH AND CASH EQUIVALENT</t>
  </si>
  <si>
    <t>CASH AND CASH EQUIVALENTS, BEGINNING BALANCE</t>
  </si>
  <si>
    <t>CASH AND CASH EQUIVALENTS, ENDING BALANCE</t>
  </si>
  <si>
    <t>REMARK ON CASH FLOW : OTHERS</t>
  </si>
  <si>
    <t>NET PROCEED FROM ISSUANCE OF CAPITAL STOCK</t>
  </si>
  <si>
    <t>FINISHED GOODS</t>
  </si>
  <si>
    <t>REAL ESTATE DEVELOPMENT COSTS</t>
  </si>
  <si>
    <t>OTHER SHORT TERM ACCOUNT RECEIVABLES - NET</t>
  </si>
  <si>
    <t>OTHER CURRENT ASSETS - OTHERS</t>
  </si>
  <si>
    <t>INVESTMENT IN ASSOCIATES AND/OR JOINT VENTURES COMPANIES, EQUITY METHOD</t>
  </si>
  <si>
    <t>AVAILABLE-FOR-SALE INVESTMENTS</t>
  </si>
  <si>
    <t>LONG-TERM LOANS-NET OF CURRENT PORTION</t>
  </si>
  <si>
    <t>GOODWILL - NET</t>
  </si>
  <si>
    <t>GOODWILL</t>
  </si>
  <si>
    <t>LEASEHOLD RIGHT - NET</t>
  </si>
  <si>
    <t>OTHER NON-CURRENT ASSETS - OTHER</t>
  </si>
  <si>
    <t>ADVANCES AND SHORT-TERM LOANS</t>
  </si>
  <si>
    <t>DEBENTURES AND DEBT CERTIFICATES</t>
  </si>
  <si>
    <t>DEFERRED INCOME - CURRENT PORTION</t>
  </si>
  <si>
    <t>LONG-TERM BORROWINGS FROM OTHERS PARTIES</t>
  </si>
  <si>
    <t>POST EMPLOYEE BENEFIT OBLIGATIONS - NET OF CURRENT PORTION</t>
  </si>
  <si>
    <t>OTHER LIABILITIES</t>
  </si>
  <si>
    <t>OTHER NON-CURRENT LIABILITIES</t>
  </si>
  <si>
    <t>PREFERED SHARES</t>
  </si>
  <si>
    <t>OTHER SURPLUS (DEFICIT)</t>
  </si>
  <si>
    <t>REVALUATION SURPLUS ON INVESTMENTS</t>
  </si>
  <si>
    <t>SURPLUS (DEFICIT) FROM BUSINESS COMBINATIONS UNDER COMMON CONTROL</t>
  </si>
  <si>
    <t>EXPIRED WARRANTS SURPLUS</t>
  </si>
  <si>
    <t>CURRENCY TRANSLATION CHANGES</t>
  </si>
  <si>
    <t>TREASURY STOCK/ SHARES OF THE COMPANY AS HELD BY A SUBSIDIARY</t>
  </si>
  <si>
    <t>SHARES OF THE COMPANY HELD BY SUBSIDIARIES (UNIT : THOUSAND BAHT)</t>
  </si>
  <si>
    <t>MINORITY INTEREST</t>
  </si>
  <si>
    <t>RAW MATERIAL AND FACTORY SUPPLIES</t>
  </si>
  <si>
    <t>INVESTMENT PROPERTIES - NET</t>
  </si>
  <si>
    <t>INVESTMENT PROPERTIES</t>
  </si>
  <si>
    <t>FINANCE LEASE LIABILITIES</t>
  </si>
  <si>
    <t>LONG-TERM BORROWINGS FROM RELATED PARTIES</t>
  </si>
  <si>
    <t>REVENUES FROM SALES OF REAL ESTATE</t>
  </si>
  <si>
    <t>INTEREST INCOME</t>
  </si>
  <si>
    <t>DIVIDEND INCOME</t>
  </si>
  <si>
    <t>SHARES OF PROFITS FROM INVESTMENTS ACCOUNTED FOR USING THE EQUITY METHOD</t>
  </si>
  <si>
    <t>COST OF SALES OF PROPERTY</t>
  </si>
  <si>
    <t>PROFIT (LOSS) ATTRIBUTABLE TO MINORITY INTERESTS</t>
  </si>
  <si>
    <t>SHARES OF LOSSES FROM INVESTMENTS ACCOUNTED FOR USING THE EQUITY METHOD</t>
  </si>
  <si>
    <t>PERIOD PROFIT (LOSS) BEFORE INTEREST AND TAX</t>
  </si>
  <si>
    <t>SHARE OF (PROFITS) LOSS FROM INVESTMENTS ACCOUNTED FOR USING THE EQUITY METHOD</t>
  </si>
  <si>
    <t>(GAIN) LOSS ON DISPOSAL OF PROPERTY, PLANT AND EQUIPMENT</t>
  </si>
  <si>
    <t>LOSS ON WRITE-OFF OTHER ASSETS</t>
  </si>
  <si>
    <t>INCREASE (DECREASE) IN OTHER NON-CURRENT LIABILITIES</t>
  </si>
  <si>
    <t>(INCREASE) DECREASE IN LONG -TERM INVESTMENTS</t>
  </si>
  <si>
    <t>(INCREASE) IN LONG -TERM INVESTMENTS</t>
  </si>
  <si>
    <t>(INCREASE) DECREASE IN INVESTMENT IN SUBSIDIARIES AND ASSOCIATES</t>
  </si>
  <si>
    <t>(INCREASE) IN INVESTMENT IN SUBSIDIARIES AND ASSOCIATES</t>
  </si>
  <si>
    <t>(INCREASE) DECREASE IN LONG-TERM LOANS TO RELATED PARTIES</t>
  </si>
  <si>
    <t>DIVIDENDS RECEIVED</t>
  </si>
  <si>
    <t>INCREASE IN LONG-TERM BORROWINGS FROM BANKS</t>
  </si>
  <si>
    <t>(DECREASE) IN LONG-TERM BORROWINGS FROM BANKS</t>
  </si>
  <si>
    <t>INCREASE (DECREASE) IN SHORT - TERM BORROWINGS FROM RELATED PARTIES</t>
  </si>
  <si>
    <t>INCREASE (DECREASE) IN LONG-TERM BORROWINGS FROM RELATED PARTIES</t>
  </si>
  <si>
    <t>INCREASE (DECREASE) DEBT CERTIFICATES</t>
  </si>
  <si>
    <t>REPAYMENT OF DEBENTURES AND DEBT CERTIFICATES</t>
  </si>
  <si>
    <t>PROCEEDS FROM ISSUANCE OF DEBENTURES AND DEBT CERTIFICATES</t>
  </si>
  <si>
    <t>PURCHASE OF TREASURY SHARES</t>
  </si>
  <si>
    <t>EFFECT OF EXCHANGE RATE CHANGES ON CASH AND CASH EQUIVALENTS</t>
  </si>
  <si>
    <t>Balance Sheet</t>
  </si>
  <si>
    <t>Income Statement</t>
  </si>
  <si>
    <t>Cash Flow</t>
  </si>
  <si>
    <t>Asset</t>
  </si>
  <si>
    <t>Liabilities</t>
  </si>
  <si>
    <t>Equity</t>
  </si>
  <si>
    <t>Cash Flow Statement</t>
  </si>
  <si>
    <t>Gross profit margin</t>
  </si>
  <si>
    <t>Net profit margin</t>
  </si>
  <si>
    <t>Return on Assets (ROA)</t>
  </si>
  <si>
    <t>Return on Equity (ROE)</t>
  </si>
  <si>
    <t>Net Gearing</t>
  </si>
  <si>
    <t>Liquidity Ratios</t>
  </si>
  <si>
    <t>Profitability Ratios</t>
  </si>
  <si>
    <t>Current ratio</t>
  </si>
  <si>
    <t>Efficiency Ratios</t>
  </si>
  <si>
    <t>Degree of Operating Leverage</t>
  </si>
  <si>
    <t>Asset turnover</t>
  </si>
  <si>
    <t>Inventory conversion period</t>
  </si>
  <si>
    <t>Receivables conversion period</t>
  </si>
  <si>
    <t>Payables conversion period</t>
  </si>
  <si>
    <t>Cash Conversion Cycle</t>
  </si>
  <si>
    <t>Debt Ratios</t>
  </si>
  <si>
    <t>Debt ratio</t>
  </si>
  <si>
    <t>Debt to Equity ratio</t>
  </si>
  <si>
    <t>Long-term Debt to equity</t>
  </si>
  <si>
    <t>Market Ratios</t>
  </si>
  <si>
    <t>Earnings per share</t>
  </si>
  <si>
    <t>Payout ratio</t>
  </si>
  <si>
    <t>Dividend cover</t>
  </si>
  <si>
    <t>P/E Ratio</t>
  </si>
  <si>
    <t>Dividend yield</t>
  </si>
  <si>
    <t>Cashflow ratio</t>
  </si>
  <si>
    <t>Price to Book Value</t>
  </si>
  <si>
    <t>Price/sales ratio</t>
  </si>
  <si>
    <t>PEG ratio</t>
  </si>
  <si>
    <t>EV/EBITDA</t>
  </si>
  <si>
    <t>EV/Sales</t>
  </si>
  <si>
    <t>Cost/Income ratio</t>
  </si>
  <si>
    <t>Inventory turnover ratio</t>
  </si>
  <si>
    <t>Growth</t>
  </si>
  <si>
    <t>EBIT</t>
  </si>
  <si>
    <t>Revenue</t>
  </si>
  <si>
    <t>Net Profit</t>
  </si>
  <si>
    <t>Tax Rate</t>
  </si>
  <si>
    <t>LESS : ALLOWANCE FOR DOUBTFUL ACCOUNTS</t>
  </si>
  <si>
    <t>OTHER INTANGIBLE ASSETS</t>
  </si>
  <si>
    <t>LAND AND CONSTRUCTION COST PAYABLES</t>
  </si>
  <si>
    <t>INCOME TAX</t>
  </si>
  <si>
    <t>(INCREASE) DECREASE IN OTHER NON-CURRENT ASSETS</t>
  </si>
  <si>
    <t>DIVIDEND RECEIVED</t>
  </si>
  <si>
    <t>(INCREASE) DECREASE IN SHORT-TERM INVESTMENT</t>
  </si>
  <si>
    <t>(INCREASE) IN OTHER INVESTMENT</t>
  </si>
  <si>
    <t>INCREASE (DECREASE) IN OTHER LOAN FROM BANKS</t>
  </si>
  <si>
    <t>INCREASE IN OTHER LOAN FROM BANKS</t>
  </si>
  <si>
    <t>(DECREASE) IN OTHER LOAN FROM BANKS</t>
  </si>
  <si>
    <t>INCREASE (DECREASE) IN OTHER LOAN FROM RELATED PARTIES</t>
  </si>
  <si>
    <t>INCREASE IN OTHER LOAN FROM RELATED PARTIES</t>
  </si>
  <si>
    <t>(DECREASE) IN OTHER LOAN FROM RELATED PARTIES</t>
  </si>
  <si>
    <t>INCREASE (DECREASE) IN FINANCIAL LEASE CONTRACT LIABILITIES</t>
  </si>
  <si>
    <t>(DECREASE) IN FINANCIAL LEASE CONTRACT LIABILITIES</t>
  </si>
  <si>
    <t>LESS : ALLOWANCE FOR DIMINUTION IN VALUE OF INVENTORIES</t>
  </si>
  <si>
    <t>LESS : ACCUMULATED DEPRECIATION - PROPERTY, PLANT AND EQUIPMENT</t>
  </si>
  <si>
    <t>SOFTWARE LICENCES</t>
  </si>
  <si>
    <t>ADVANCES RECEIVED FROM CUSTOMERS - CURRENT PORTION</t>
  </si>
  <si>
    <t>NUMBER ISSUED AND FULLY PAID (UNIT : SHARE)</t>
  </si>
  <si>
    <t>ORDINARY SHARES (UNIT : SHARE)</t>
  </si>
  <si>
    <t>GAIN ON EXCHANGE</t>
  </si>
  <si>
    <t>LOSS ON DIMINUTION IN VALUE OF INVENTORIES (REVERSAL)</t>
  </si>
  <si>
    <t>WEIGHTED AVERAGE NUMBER OF ORDINARY SHARES, BASIC (UNIT : SHARE)</t>
  </si>
  <si>
    <t>GOODS IN TRANSIT</t>
  </si>
  <si>
    <t>REFUNDABLE VALUE ADDED TAX</t>
  </si>
  <si>
    <t>RESERVE FOR TREASURY SHARES</t>
  </si>
  <si>
    <t>OTHER RESERVES</t>
  </si>
  <si>
    <t>NUMBER OF TREASURY STOCK (UNIT : SHARE)</t>
  </si>
  <si>
    <t>TREASURY SHARES (UNIT : THOUSAND BAHT)</t>
  </si>
  <si>
    <t>LOSS ON OBSOLESCENCE (REVERSAL)</t>
  </si>
  <si>
    <t>(INCREASE) DECREASE IN TRADE ACCOUNT AND NOTE RECEIVABLES - RELATED PARTIES</t>
  </si>
  <si>
    <t>INCREASE (DECREASE) IN TRADE ACCOUNT AND NOTE PAYABLES - RELATED PATIES</t>
  </si>
  <si>
    <t>INCREASE (DECREASE) IN OTHER PAYABLES - RELATED PARTIES</t>
  </si>
  <si>
    <t>INCREASE (DECREASE) IN SHORT - TERM BORROWINGS FROM BANKS</t>
  </si>
  <si>
    <t>INCREASE (DECREASE) DIFFERENCES ON FINANCIAL STATEMENTS TRANSLATION</t>
  </si>
  <si>
    <t>WORK IN PROGRESS</t>
  </si>
  <si>
    <t>PREPAYMENTS - CURRENT ASSETS</t>
  </si>
  <si>
    <t>GAIN ON SALES OF INVESTMENTS</t>
  </si>
  <si>
    <t>DECREASE IN INTANGIBLE ASSETS</t>
  </si>
  <si>
    <t>PREMIUM (DISCOUNT) ON TREASURY SHARES</t>
  </si>
  <si>
    <t>CAPITAL REDUCTION</t>
  </si>
  <si>
    <t>UNBILLED RECEIVABLES</t>
  </si>
  <si>
    <t>WITHHOLDING TAX</t>
  </si>
  <si>
    <t>VALUE ADDED TAX SUSPENSE</t>
  </si>
  <si>
    <t>ADVANCE PAYMENTS - CURRENT ASSETS</t>
  </si>
  <si>
    <t>CASH RESTRICTED OR PLEDGED</t>
  </si>
  <si>
    <t>DEFERRED EXPENDITURE</t>
  </si>
  <si>
    <t>AMOUNT OF RETENTION ON CONSTRUCTION CONTACTS - CURRENT LIABILITIES</t>
  </si>
  <si>
    <t>Gross profit</t>
  </si>
  <si>
    <t>SGA / Gross profit</t>
  </si>
  <si>
    <t>Depreciation / Gross Profit</t>
  </si>
  <si>
    <t>R&amp;D / Gross profit</t>
  </si>
  <si>
    <t>Interest expense / EBIT</t>
  </si>
  <si>
    <t>Interest Coverage Ratio</t>
  </si>
  <si>
    <t>Long-term Debt to Net Profit</t>
  </si>
  <si>
    <t>Sales per day</t>
  </si>
  <si>
    <t>Property, Plant &amp; Equipment turnover</t>
  </si>
  <si>
    <t>Acid-test ratio (Quick ratio)</t>
  </si>
  <si>
    <t>ASSETS</t>
  </si>
  <si>
    <t>REAL ESTATE FOR SALES</t>
  </si>
  <si>
    <t>REFUNDABLE DEPOSITS - CURRENT ASSETS</t>
  </si>
  <si>
    <t>ACCRUED INCOME</t>
  </si>
  <si>
    <t>ACCRUED INTEREST RECEIVABLES</t>
  </si>
  <si>
    <t>AFFILIATES</t>
  </si>
  <si>
    <t>PROPERTY, PLANT AND EQUIPMENT UNDER FINANCE LEASES</t>
  </si>
  <si>
    <t>LESS : ALLOWANCE FOR IMPAIRMENT OF PROPERTY, PLANT AND EQUIPMENT</t>
  </si>
  <si>
    <t>LESS : ACCUMULATED AMORTISATION - INTANGIBLE ASSETS</t>
  </si>
  <si>
    <t>OTHER NON-CURRENT FINANCIAL ASSETS</t>
  </si>
  <si>
    <t>REFUNDABLE DEPOSITS</t>
  </si>
  <si>
    <t>LIABILITIES AND SHAREHOLDERS' EQUITY</t>
  </si>
  <si>
    <t>PROVISIONS - CURRENT PORTION</t>
  </si>
  <si>
    <t>SPECIFIC BUSINESS TAX PAYABLE</t>
  </si>
  <si>
    <t>ACCRUED INTEREST PAYABLE</t>
  </si>
  <si>
    <t>DEFERRED INCOME - NET OF CURRENT PORTION</t>
  </si>
  <si>
    <t>PROVISIONS</t>
  </si>
  <si>
    <t>DEFERRED TAX LIABILITIES</t>
  </si>
  <si>
    <t>PENSION FUND</t>
  </si>
  <si>
    <t>SHAREHOLDERS' EQUITY</t>
  </si>
  <si>
    <t>PREFERED SHARES (UNIT : SHARE)</t>
  </si>
  <si>
    <t>REVALUATION SURPLUS OF PROPERTY, PLANT AND EQUIPMENT</t>
  </si>
  <si>
    <t>UNREALISED GAIN (LOSS) FROM CHANGES IN INVESTMENTS INTEREST</t>
  </si>
  <si>
    <t>SURPLUS (DEFICIT) FROM SHAREHOLDERS' EQUITY TRANSACTION OF SUBSIDIARIES AND/OR A</t>
  </si>
  <si>
    <t>SHARE SUBSCRIPTION RECEIVED IN ADVANCE</t>
  </si>
  <si>
    <t>REVENUES FROM CONSTRUCTION CONTRACTS</t>
  </si>
  <si>
    <t>GAIN ON DISPOSAL OF PROPERTY, PLANT AND EQUIPMENT</t>
  </si>
  <si>
    <t>BAD DEBT RECOVERY AND REVERSAL OF ALLOWANCE FOR DOUBTFUL ACCOUNTS</t>
  </si>
  <si>
    <t>COST OF CONSTRUCTION SERVICES</t>
  </si>
  <si>
    <t>LOSS ON DISPOSAL OF PROPERTY, PLANT AND EQUIPMENT</t>
  </si>
  <si>
    <t>BAD DEBT AND DOUBTFUL ACCOUNTS</t>
  </si>
  <si>
    <t>IMPAIRMENT LOSS OF PROPERTY, PLANT AND EQUIPMENT</t>
  </si>
  <si>
    <t>IMPAIRMENT LOSS OF OTHER ASSETS</t>
  </si>
  <si>
    <t>LOSS ON DIMINUTION IN VALUE OF INVENTORIES</t>
  </si>
  <si>
    <t>WEIGTHED AVERAGE NUMBER OF ORDINARY SHARES, DILUTED (UNIT : SHARE)</t>
  </si>
  <si>
    <t>IMPAIRMENT LOSS (REVERSAL) OF PROPERTY, PLANT AND EQUIPMENT</t>
  </si>
  <si>
    <t>(GAIN) LOSS ON SALES OF INTANGIBLE ASSETS [A]</t>
  </si>
  <si>
    <t>(GAIN) LOSS ON SALES OF PROPERTIES FORECLOSED [A]</t>
  </si>
  <si>
    <t>IMPAIRMENT LOSS (REVERSAL) OF PROPERTIES FORECLOSED</t>
  </si>
  <si>
    <t>(GAIN) LOSS ON FAIR VALUE ADJUSTMENTS OF INVESTMENTS</t>
  </si>
  <si>
    <t>(GAIN) LOSS ON DEBT RESTRUCTURING</t>
  </si>
  <si>
    <t>LOSS ON WRITE-OFF PROPERTY, PLANT AND EQUIPMENT</t>
  </si>
  <si>
    <t>DIVIDEND AND INTEREST INCOME</t>
  </si>
  <si>
    <t>INCREASE (DECREASE) IN OTHER PAYABLES - OTHERS</t>
  </si>
  <si>
    <t>(INCREASE) IN SHORT-TERM INVESTMENT</t>
  </si>
  <si>
    <t>DECREASE IN SHORT-TERM INVESTMENT</t>
  </si>
  <si>
    <t>DECREASE IN LONG -TERM INVESTMENTS</t>
  </si>
  <si>
    <t>DECREASE IN INVESTMENT IN SUBSIDIARIES AND ASSOCIATES</t>
  </si>
  <si>
    <t>DECREASE IN OTHER INVESTMENT</t>
  </si>
  <si>
    <t>(INCREASE) IN LONG-TERM LOANS TO RELATED PARTIES</t>
  </si>
  <si>
    <t>DECREASE IN LONG-TERM LOANS TO RELATED PARTIES</t>
  </si>
  <si>
    <t>(INCREASE) DECREASE IN RESTRICTED DEPOSITS AT BANKS</t>
  </si>
  <si>
    <t>(INCREASE) IN RESTRICTED DEPOSITS AT BANKS</t>
  </si>
  <si>
    <t>DECREASE IN RESTRICTED DEPOSITS AT BANKS</t>
  </si>
  <si>
    <t>INCREASE IN SHORT - TERM BORROWINGS FROM BANKS</t>
  </si>
  <si>
    <t>(DECREASE) IN SHORT - TERM BORROWINGS FROM BANKS</t>
  </si>
  <si>
    <t>INCREASE (DECREASE) LIABILITIES UNDER TRUST RECEIPTS</t>
  </si>
  <si>
    <t>INCREASE LIABILITIES UNDER TRUST RECEIPTS</t>
  </si>
  <si>
    <t>(DECREASE) LIABILITIES UNDER TRUST RECEIPTS</t>
  </si>
  <si>
    <t>INCREASE IN SHORT - TERM BORROWINGS FROM RELATED PARTIES</t>
  </si>
  <si>
    <t>(DECREASE) IN SHORT - TERM BORROWINGS FROM RELATED PARTIES</t>
  </si>
  <si>
    <t>INCREASE IN LONG-TERM BORROWINGS FROM RELATED PARTIES</t>
  </si>
  <si>
    <t>(DECREASE) IN LONG-TERM BORROWINGS FROM RELATED PARTIES</t>
  </si>
  <si>
    <t>INCREASE IN SHORT-TERM BORROWINGS FROM OTHERS</t>
  </si>
  <si>
    <t>(DECREASE) IN SHORT-TERM BORROWINGS FROM OTHERS</t>
  </si>
  <si>
    <t>INCREASE IN FINANCIAL LEASE CONTRACT LIABILITIES</t>
  </si>
  <si>
    <t>INCREASE DEBT CERTIFICATES</t>
  </si>
  <si>
    <t>(DECREASE) DEBT CERTIFICATES</t>
  </si>
  <si>
    <t>Operating profit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</si>
</sst>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charset val="22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2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u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B7DEFF"/>
        <bgColor indexed="64"/>
      </patternFill>
    </fill>
    <fill>
      <patternFill patternType="solid">
        <fgColor rgb="FFE6F4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applyAlignment="1"/>
    <xf numFmtId="0" fontId="3" fillId="2" borderId="0" xfId="0" applyFont="1" applyFill="1"/>
    <xf numFmtId="0" fontId="0" fillId="2" borderId="0" xfId="0" applyFill="1"/>
    <xf numFmtId="0" fontId="0" fillId="3" borderId="0" xfId="0" applyFill="1"/>
    <xf numFmtId="10" fontId="0" fillId="0" borderId="0" xfId="0" applyNumberFormat="1"/>
    <xf numFmtId="2" fontId="0" fillId="0" borderId="0" xfId="0" applyNumberFormat="1"/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0" borderId="0" xfId="0"/>
  </cellXfs>
  <cellStyles count="1">
    <cellStyle name="Normal" xfId="0" builtinId="0"/>
  </cellStyles>
  <dxfs count="3">
    <dxf>
      <fill>
        <patternFill>
          <bgColor rgb="FFB7DEFF"/>
        </patternFill>
      </fill>
    </dxf>
    <dxf>
      <font>
        <b/>
        <i val="0"/>
      </font>
    </dxf>
    <dxf>
      <fill>
        <patternFill>
          <bgColor rgb="FFE6F4FF"/>
        </patternFill>
      </fill>
    </dxf>
  </dxfs>
  <tableStyles count="0" defaultTableStyle="TableStyleMedium2" defaultPivotStyle="PivotStyleLight16"/>
  <colors>
    <mruColors>
      <color rgb="FFE6F4FF"/>
      <color rgb="FFB7DE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3</xdr:row>
          <xdr:rowOff>9525</xdr:rowOff>
        </xdr:from>
        <xdr:to>
          <xdr:col>11</xdr:col>
          <xdr:colOff>295275</xdr:colOff>
          <xdr:row>4</xdr:row>
          <xdr:rowOff>95250</xdr:rowOff>
        </xdr:to>
        <xdr:sp macro="" textlink="">
          <xdr:nvSpPr>
            <xdr:cNvPr id="7169" name="btnMergeBalanceSheet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Balance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5</xdr:row>
          <xdr:rowOff>0</xdr:rowOff>
        </xdr:from>
        <xdr:to>
          <xdr:col>11</xdr:col>
          <xdr:colOff>276225</xdr:colOff>
          <xdr:row>6</xdr:row>
          <xdr:rowOff>85725</xdr:rowOff>
        </xdr:to>
        <xdr:sp macro="" textlink="">
          <xdr:nvSpPr>
            <xdr:cNvPr id="7170" name="btnMergeIncome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7</xdr:row>
          <xdr:rowOff>0</xdr:rowOff>
        </xdr:from>
        <xdr:to>
          <xdr:col>11</xdr:col>
          <xdr:colOff>276225</xdr:colOff>
          <xdr:row>8</xdr:row>
          <xdr:rowOff>85725</xdr:rowOff>
        </xdr:to>
        <xdr:sp macro="" textlink="">
          <xdr:nvSpPr>
            <xdr:cNvPr id="7171" name="btnMergeCashFlow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Cash 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9</xdr:row>
          <xdr:rowOff>0</xdr:rowOff>
        </xdr:from>
        <xdr:to>
          <xdr:col>11</xdr:col>
          <xdr:colOff>276225</xdr:colOff>
          <xdr:row>10</xdr:row>
          <xdr:rowOff>85725</xdr:rowOff>
        </xdr:to>
        <xdr:sp macro="" textlink="">
          <xdr:nvSpPr>
            <xdr:cNvPr id="7172" name="btnGenerateData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NewData"/>
  <dimension ref="C1:H1"/>
  <sheetViews>
    <sheetView tabSelected="1" workbookViewId="0"/>
  </sheetViews>
  <sheetFormatPr defaultRowHeight="15" customHeight="1"/>
  <cols>
    <col min="1" max="2" width="9.140625" style="2"/>
    <col min="3" max="8" width="9.140625" style="11"/>
    <col min="9" max="16384" width="9.140625" style="2"/>
  </cols>
  <sheetData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tnMergeBalanceSheet">
              <controlPr defaultSize="0" print="0" autoFill="0" autoPict="0" macro="[0]!NewData.MergeBalanceSheet">
                <anchor>
                  <from>
                    <xdr:col>9</xdr:col>
                    <xdr:colOff>19050</xdr:colOff>
                    <xdr:row>3</xdr:row>
                    <xdr:rowOff>9525</xdr:rowOff>
                  </from>
                  <to>
                    <xdr:col>11</xdr:col>
                    <xdr:colOff>295275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tnMergeIncome">
              <controlPr defaultSize="0" print="0" autoFill="0" autoPict="0" macro="[0]!NewData.MergeIncomeStatement">
                <anchor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276225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tnMergeCashFlow">
              <controlPr defaultSize="0" print="0" autoFill="0" autoPict="0" macro="[0]!NewData.MergeCashFlowStatement">
                <anchor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11</xdr:col>
                    <xdr:colOff>276225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tnGenerateData">
              <controlPr defaultSize="0" print="0" autoFill="0" autoPict="0" macro="[0]!NewData.GenerateFinancialData">
                <anchor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11</xdr:col>
                    <xdr:colOff>276225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inancialHighlight"/>
  <dimension ref="A1:B43"/>
  <sheetViews>
    <sheetView topLeftCell="B1" zoomScaleNormal="100" workbookViewId="0">
      <selection activeCell="B1" sqref="B1"/>
    </sheetView>
  </sheetViews>
  <sheetFormatPr defaultRowHeight="15"/>
  <cols>
    <col min="1" max="1" width="9.140625" hidden="1" customWidth="1"/>
    <col min="2" max="2" width="40.140625" customWidth="1"/>
  </cols>
  <sheetData>
    <row r="1" spans="2:2">
      <c r="B1" s="3"/>
    </row>
    <row r="2" spans="2:2">
      <c r="B2" s="5" t="s">
        <v>163</v>
      </c>
    </row>
    <row r="3" spans="2:2">
      <c r="B3" s="4" t="s">
        <v>166</v>
      </c>
    </row>
    <row r="4" spans="2:2">
      <c r="B4" t="s">
        <v>0</v>
      </c>
    </row>
    <row r="5" spans="2:2">
      <c r="B5" t="s">
        <v>2</v>
      </c>
    </row>
    <row r="6" spans="2:2">
      <c r="B6" t="s">
        <v>4</v>
      </c>
    </row>
    <row r="7" spans="2:2">
      <c r="B7" t="s">
        <v>6</v>
      </c>
    </row>
    <row r="8" spans="2:2">
      <c r="B8" t="s">
        <v>9</v>
      </c>
    </row>
    <row r="9" spans="2:2">
      <c r="B9" t="s">
        <v>14</v>
      </c>
    </row>
    <row r="10" spans="2:2">
      <c r="B10" s="4" t="s">
        <v>167</v>
      </c>
    </row>
    <row r="11" spans="2:2">
      <c r="B11" t="s">
        <v>16</v>
      </c>
    </row>
    <row r="12" spans="2:2">
      <c r="B12" t="s">
        <v>19</v>
      </c>
    </row>
    <row r="13" spans="2:2">
      <c r="B13" t="s">
        <v>26</v>
      </c>
    </row>
    <row r="14" spans="2:2">
      <c r="B14" t="s">
        <v>28</v>
      </c>
    </row>
    <row r="15" spans="2:2">
      <c r="B15" t="s">
        <v>29</v>
      </c>
    </row>
    <row r="16" spans="2:2">
      <c r="B16" s="4" t="s">
        <v>168</v>
      </c>
    </row>
    <row r="17" spans="2:2">
      <c r="B17" t="s">
        <v>32</v>
      </c>
    </row>
    <row r="18" spans="2:2">
      <c r="B18" t="s">
        <v>34</v>
      </c>
    </row>
    <row r="19" spans="2:2">
      <c r="B19" t="s">
        <v>128</v>
      </c>
    </row>
    <row r="20" spans="2:2">
      <c r="B20" t="s">
        <v>39</v>
      </c>
    </row>
    <row r="22" spans="2:2">
      <c r="B22" s="5" t="s">
        <v>164</v>
      </c>
    </row>
    <row r="23" spans="2:2">
      <c r="B23" t="s">
        <v>41</v>
      </c>
    </row>
    <row r="24" spans="2:2">
      <c r="B24" t="s">
        <v>44</v>
      </c>
    </row>
    <row r="25" spans="2:2">
      <c r="B25" t="s">
        <v>46</v>
      </c>
    </row>
    <row r="26" spans="2:2">
      <c r="B26" t="s">
        <v>47</v>
      </c>
    </row>
    <row r="27" spans="2:2">
      <c r="B27" t="s">
        <v>50</v>
      </c>
    </row>
    <row r="28" spans="2:2">
      <c r="B28" t="s">
        <v>53</v>
      </c>
    </row>
    <row r="29" spans="2:2">
      <c r="B29" t="s">
        <v>56</v>
      </c>
    </row>
    <row r="30" spans="2:2">
      <c r="B30" t="s">
        <v>58</v>
      </c>
    </row>
    <row r="31" spans="2:2">
      <c r="B31" t="s">
        <v>59</v>
      </c>
    </row>
    <row r="32" spans="2:2">
      <c r="B32" t="s">
        <v>60</v>
      </c>
    </row>
    <row r="33" spans="2:2">
      <c r="B33" t="s">
        <v>61</v>
      </c>
    </row>
    <row r="34" spans="2:2">
      <c r="B34" t="s">
        <v>62</v>
      </c>
    </row>
    <row r="35" spans="2:2">
      <c r="B35" t="s">
        <v>63</v>
      </c>
    </row>
    <row r="36" spans="2:2">
      <c r="B36" t="s">
        <v>64</v>
      </c>
    </row>
    <row r="38" spans="2:2">
      <c r="B38" s="5" t="s">
        <v>169</v>
      </c>
    </row>
    <row r="39" spans="2:2">
      <c r="B39" t="s">
        <v>66</v>
      </c>
    </row>
    <row r="40" spans="2:2">
      <c r="B40" t="s">
        <v>76</v>
      </c>
    </row>
    <row r="41" spans="2:2">
      <c r="B41" t="s">
        <v>80</v>
      </c>
    </row>
    <row r="42" spans="2:2">
      <c r="B42" t="s">
        <v>86</v>
      </c>
    </row>
    <row r="43" spans="2:2">
      <c r="B43" t="s">
        <v>86</v>
      </c>
    </row>
  </sheetData>
  <pageMargins left="0.7" right="0.7" top="0.75" bottom="0.75" header="0.3" footer="0.3"/>
  <pageSetup scale="22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nancialRatio"/>
  <dimension ref="A1:B55"/>
  <sheetViews>
    <sheetView topLeftCell="A4" workbookViewId="0"/>
  </sheetViews>
  <sheetFormatPr defaultRowHeight="15"/>
  <cols>
    <col min="1" max="1" width="9" customWidth="1"/>
    <col min="2" max="2" width="25" bestFit="1" customWidth="1"/>
  </cols>
  <sheetData>
    <row r="1" spans="1:2">
      <c r="A1" s="3">
        <f>'Financial Highlight'!A1</f>
        <v>0</v>
      </c>
      <c r="B1" s="3"/>
    </row>
    <row r="2" spans="1:2">
      <c r="A2" s="5"/>
      <c r="B2" s="5" t="s">
        <v>176</v>
      </c>
    </row>
    <row r="3" spans="1:2" s="12" customFormat="1">
      <c r="A3" s="7">
        <f>('Financial Highlight'!A23-'Financial Highlight'!A26)</f>
        <v>0</v>
      </c>
      <c r="B3" s="12" t="s">
        <v>258</v>
      </c>
    </row>
    <row r="4" spans="1:2">
      <c r="A4" s="6" t="e">
        <f>A3/'Financial Highlight'!A23</f>
        <v>#DIV/0!</v>
      </c>
      <c r="B4" t="s">
        <v>170</v>
      </c>
    </row>
    <row r="5" spans="1:2" s="12" customFormat="1">
      <c r="A5" s="6" t="e">
        <f>'Financial Highlight'!A27/A3</f>
        <v>#DIV/0!</v>
      </c>
      <c r="B5" s="6" t="s">
        <v>259</v>
      </c>
    </row>
    <row r="6" spans="1:2" s="12" customFormat="1">
      <c r="A6" s="6"/>
      <c r="B6" s="6" t="s">
        <v>261</v>
      </c>
    </row>
    <row r="7" spans="1:2">
      <c r="A7" s="6" t="e">
        <f>'Financial Highlight'!A39/A3</f>
        <v>#DIV/0!</v>
      </c>
      <c r="B7" s="6" t="s">
        <v>260</v>
      </c>
    </row>
    <row r="8" spans="1:2">
      <c r="A8" s="6" t="e">
        <f>'Financial Highlight'!A30/'Financial Highlight'!A25</f>
        <v>#DIV/0!</v>
      </c>
      <c r="B8" t="s">
        <v>336</v>
      </c>
    </row>
    <row r="9" spans="1:2" s="12" customFormat="1">
      <c r="A9" s="6" t="e">
        <f>'Financial Highlight'!A31/'Financial Highlight'!A30</f>
        <v>#DIV/0!</v>
      </c>
      <c r="B9" s="6" t="s">
        <v>262</v>
      </c>
    </row>
    <row r="10" spans="1:2">
      <c r="A10" s="6" t="e">
        <f>'Financial Highlight'!A32/('Financial Highlight'!A30-'Financial Highlight'!A31)</f>
        <v>#DIV/0!</v>
      </c>
      <c r="B10" t="s">
        <v>207</v>
      </c>
    </row>
    <row r="11" spans="1:2">
      <c r="A11" s="6" t="e">
        <f>'Financial Highlight'!A34/'Financial Highlight'!A25</f>
        <v>#DIV/0!</v>
      </c>
      <c r="B11" t="s">
        <v>171</v>
      </c>
    </row>
    <row r="12" spans="1:2">
      <c r="A12" s="6" t="e">
        <f>'Financial Highlight'!A33/(('Financial Highlight'!A20+IF(ISBLANK('Financial Highlight'!B20),'Financial Highlight'!A20,'Financial Highlight'!B20))/2)</f>
        <v>#VALUE!</v>
      </c>
      <c r="B12" t="s">
        <v>173</v>
      </c>
    </row>
    <row r="13" spans="1:2">
      <c r="A13" s="6" t="e">
        <f>('Financial Highlight'!A30)/(('Financial Highlight'!A9+IF(ISBLANK('Financial Highlight'!B9),'Financial Highlight'!A9,'Financial Highlight'!B9))/2)</f>
        <v>#VALUE!</v>
      </c>
      <c r="B13" t="s">
        <v>172</v>
      </c>
    </row>
    <row r="14" spans="1:2">
      <c r="A14" s="7" t="e">
        <f>'Financial Highlight'!A15/'Financial Highlight'!A20</f>
        <v>#DIV/0!</v>
      </c>
      <c r="B14" t="s">
        <v>174</v>
      </c>
    </row>
    <row r="16" spans="1:2">
      <c r="A16" s="5"/>
      <c r="B16" s="5" t="s">
        <v>175</v>
      </c>
    </row>
    <row r="17" spans="1:2">
      <c r="A17" s="7" t="e">
        <f>'Financial Highlight'!A7/'Financial Highlight'!A13</f>
        <v>#DIV/0!</v>
      </c>
      <c r="B17" t="s">
        <v>177</v>
      </c>
    </row>
    <row r="18" spans="1:2">
      <c r="A18" s="7" t="e">
        <f>('Financial Highlight'!A7-'Financial Highlight'!A6)/'Financial Highlight'!A13</f>
        <v>#DIV/0!</v>
      </c>
      <c r="B18" t="s">
        <v>267</v>
      </c>
    </row>
    <row r="20" spans="1:2">
      <c r="A20" s="5"/>
      <c r="B20" s="5" t="s">
        <v>178</v>
      </c>
    </row>
    <row r="21" spans="1:2">
      <c r="A21" s="7">
        <f>'Financial Highlight'!A23/365</f>
        <v>0</v>
      </c>
      <c r="B21" s="12" t="s">
        <v>265</v>
      </c>
    </row>
    <row r="22" spans="1:2">
      <c r="A22" s="7" t="e">
        <f>'Financial Highlight'!A25/'Financial Highlight'!A9</f>
        <v>#DIV/0!</v>
      </c>
      <c r="B22" s="12" t="s">
        <v>180</v>
      </c>
    </row>
    <row r="23" spans="1:2">
      <c r="A23" s="7" t="e">
        <f>'Financial Highlight'!A25/'Financial Highlight'!A8</f>
        <v>#DIV/0!</v>
      </c>
      <c r="B23" t="s">
        <v>266</v>
      </c>
    </row>
    <row r="24" spans="1:2">
      <c r="A24" s="7" t="e">
        <f>365/('Financial Highlight'!A25/(('Financial Highlight'!A5+IF(ISBLANK('Financial Highlight'!B5),'Financial Highlight'!A5,'Financial Highlight'!B5))/2))</f>
        <v>#VALUE!</v>
      </c>
      <c r="B24" t="s">
        <v>182</v>
      </c>
    </row>
    <row r="25" spans="1:2">
      <c r="A25" s="7" t="e">
        <f>365/('Financial Highlight'!A26/(('Financial Highlight'!A11+IF(ISBLANK('Financial Highlight'!B11),'Financial Highlight'!A11,'Financial Highlight'!B11))/2))</f>
        <v>#VALUE!</v>
      </c>
      <c r="B25" t="s">
        <v>183</v>
      </c>
    </row>
    <row r="26" spans="1:2">
      <c r="A26" s="7" t="e">
        <f>'Financial Highlight'!A26/(('Financial Highlight'!A6+IF(ISBLANK('Financial Highlight'!B6),'Financial Highlight'!A6,'Financial Highlight'!B6))/2)</f>
        <v>#VALUE!</v>
      </c>
      <c r="B26" t="s">
        <v>202</v>
      </c>
    </row>
    <row r="27" spans="1:2">
      <c r="A27" s="7" t="e">
        <f t="shared" ref="A27" si="0">365/A26</f>
        <v>#VALUE!</v>
      </c>
      <c r="B27" t="s">
        <v>181</v>
      </c>
    </row>
    <row r="28" spans="1:2">
      <c r="A28" s="7" t="e">
        <f>A27+A24-A25</f>
        <v>#VALUE!</v>
      </c>
      <c r="B28" t="s">
        <v>184</v>
      </c>
    </row>
    <row r="29" spans="1:2">
      <c r="A29" s="7" t="e">
        <f>IF(A53=0, 0, A54/A53)</f>
        <v>#VALUE!</v>
      </c>
      <c r="B29" t="s">
        <v>179</v>
      </c>
    </row>
    <row r="31" spans="1:2">
      <c r="A31" s="5"/>
      <c r="B31" s="5" t="s">
        <v>185</v>
      </c>
    </row>
    <row r="32" spans="1:2">
      <c r="A32" s="6" t="e">
        <f>'Financial Highlight'!A15/'Financial Highlight'!A9</f>
        <v>#DIV/0!</v>
      </c>
      <c r="B32" t="s">
        <v>186</v>
      </c>
    </row>
    <row r="33" spans="1:2" s="12" customFormat="1">
      <c r="A33" s="7" t="e">
        <f>'Financial Highlight'!A15/'Financial Highlight'!A20</f>
        <v>#DIV/0!</v>
      </c>
      <c r="B33" t="s">
        <v>187</v>
      </c>
    </row>
    <row r="34" spans="1:2">
      <c r="A34" s="7" t="e">
        <f>'Financial Highlight'!A14/'Financial Highlight'!A20</f>
        <v>#DIV/0!</v>
      </c>
      <c r="B34" t="s">
        <v>188</v>
      </c>
    </row>
    <row r="35" spans="1:2">
      <c r="A35" s="7" t="e">
        <f>'Financial Highlight'!A14/'Financial Highlight'!A33</f>
        <v>#DIV/0!</v>
      </c>
      <c r="B35" s="12" t="s">
        <v>264</v>
      </c>
    </row>
    <row r="36" spans="1:2">
      <c r="A36" s="7" t="e">
        <f>'Financial Highlight'!A30/'Financial Highlight'!A31</f>
        <v>#DIV/0!</v>
      </c>
      <c r="B36" t="s">
        <v>263</v>
      </c>
    </row>
    <row r="38" spans="1:2">
      <c r="A38" s="5"/>
      <c r="B38" s="5" t="s">
        <v>189</v>
      </c>
    </row>
    <row r="39" spans="1:2">
      <c r="B39" t="s">
        <v>190</v>
      </c>
    </row>
    <row r="40" spans="1:2">
      <c r="B40" t="s">
        <v>191</v>
      </c>
    </row>
    <row r="41" spans="1:2">
      <c r="B41" t="s">
        <v>192</v>
      </c>
    </row>
    <row r="42" spans="1:2">
      <c r="B42" t="s">
        <v>193</v>
      </c>
    </row>
    <row r="43" spans="1:2">
      <c r="B43" t="s">
        <v>194</v>
      </c>
    </row>
    <row r="44" spans="1:2">
      <c r="B44" t="s">
        <v>195</v>
      </c>
    </row>
    <row r="45" spans="1:2">
      <c r="B45" t="s">
        <v>196</v>
      </c>
    </row>
    <row r="46" spans="1:2">
      <c r="B46" t="s">
        <v>197</v>
      </c>
    </row>
    <row r="47" spans="1:2">
      <c r="B47" t="s">
        <v>198</v>
      </c>
    </row>
    <row r="48" spans="1:2">
      <c r="B48" t="s">
        <v>199</v>
      </c>
    </row>
    <row r="49" spans="1:2">
      <c r="B49" t="s">
        <v>200</v>
      </c>
    </row>
    <row r="50" spans="1:2">
      <c r="B50" t="s">
        <v>201</v>
      </c>
    </row>
    <row r="52" spans="1:2">
      <c r="A52" s="5"/>
      <c r="B52" s="5" t="s">
        <v>203</v>
      </c>
    </row>
    <row r="53" spans="1:2">
      <c r="A53" s="6" t="e">
        <f>IF(ISBLANK('Financial Highlight'!B25), 0, ('Financial Highlight'!A25-'Financial Highlight'!B25)/'Financial Highlight'!B25)</f>
        <v>#VALUE!</v>
      </c>
      <c r="B53" t="s">
        <v>205</v>
      </c>
    </row>
    <row r="54" spans="1:2">
      <c r="A54" s="6" t="e">
        <f>IF(ISBLANK('Financial Highlight'!B30), 0, ('Financial Highlight'!A30-'Financial Highlight'!B30)/'Financial Highlight'!B30)</f>
        <v>#VALUE!</v>
      </c>
      <c r="B54" t="s">
        <v>204</v>
      </c>
    </row>
    <row r="55" spans="1:2">
      <c r="A55" s="6" t="e">
        <f>IF(ISBLANK('Financial Highlight'!B33), 0, ('Financial Highlight'!A33-'Financial Highlight'!B33)/'Financial Highlight'!B33)</f>
        <v>#VALUE!</v>
      </c>
      <c r="B55" t="s">
        <v>206</v>
      </c>
    </row>
  </sheetData>
  <conditionalFormatting sqref="A17">
    <cfRule type="iconSet" priority="27">
      <iconSet>
        <cfvo type="percent" val="0"/>
        <cfvo type="num" val="0.75"/>
        <cfvo type="num" val="1"/>
      </iconSet>
    </cfRule>
  </conditionalFormatting>
  <conditionalFormatting sqref="A33">
    <cfRule type="iconSet" priority="26">
      <iconSet reverse="1">
        <cfvo type="percent" val="0"/>
        <cfvo type="num" val="0.8"/>
        <cfvo type="num" val="1.5"/>
      </iconSet>
    </cfRule>
  </conditionalFormatting>
  <conditionalFormatting sqref="A18">
    <cfRule type="iconSet" priority="25">
      <iconSet>
        <cfvo type="percent" val="0"/>
        <cfvo type="num" val="0.5"/>
        <cfvo type="num" val="1"/>
      </iconSet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lanceSheet"/>
  <dimension ref="A1"/>
  <sheetViews>
    <sheetView workbookViewId="0"/>
  </sheetViews>
  <sheetFormatPr defaultRowHeight="15"/>
  <cols>
    <col min="1" max="1" width="80.7109375" style="2" customWidth="1"/>
  </cols>
  <sheetData/>
  <dataConsolidate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tatement"/>
  <dimension ref="A1"/>
  <sheetViews>
    <sheetView workbookViewId="0"/>
  </sheetViews>
  <sheetFormatPr defaultRowHeight="15"/>
  <cols>
    <col min="1" max="1" width="80.71093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Flow"/>
  <dimension ref="A1"/>
  <sheetViews>
    <sheetView workbookViewId="0"/>
  </sheetViews>
  <sheetFormatPr defaultRowHeight="15"/>
  <cols>
    <col min="1" max="1" width="80.7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"/>
  <dimension ref="A1"/>
  <sheetViews>
    <sheetView topLeftCell="A2" workbookViewId="0">
      <selection activeCell="A2" sqref="A2"/>
    </sheetView>
  </sheetViews>
  <sheetFormatPr defaultRowHeight="15"/>
  <sheetData>
    <row r="1" hidden="1"/>
  </sheetData>
  <conditionalFormatting sqref="A1">
    <cfRule type="expression" dxfId="2" priority="34">
      <formula>FIND("BAHT",$B1)</formula>
    </cfRule>
    <cfRule type="expression" dxfId="1" priority="35">
      <formula>ISBLANK($A1)</formula>
    </cfRule>
    <cfRule type="expression" dxfId="0" priority="36">
      <formula>OR(ISBLANK($A1),ISBLANK($B1))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mLookup"/>
  <dimension ref="A1:C159"/>
  <sheetViews>
    <sheetView workbookViewId="0"/>
  </sheetViews>
  <sheetFormatPr defaultRowHeight="15"/>
  <cols>
    <col min="1" max="3" width="50.7109375" customWidth="1"/>
  </cols>
  <sheetData>
    <row r="1" spans="1:3">
      <c r="A1" s="1" t="s">
        <v>163</v>
      </c>
      <c r="B1" s="1" t="s">
        <v>164</v>
      </c>
      <c r="C1" s="1" t="s">
        <v>165</v>
      </c>
    </row>
    <row r="2" spans="1:3">
      <c r="A2" s="9" t="s">
        <v>268</v>
      </c>
      <c r="B2" s="11" t="s">
        <v>41</v>
      </c>
      <c r="C2" s="12" t="s">
        <v>143</v>
      </c>
    </row>
    <row r="3" spans="1:3">
      <c r="A3" s="9" t="s">
        <v>0</v>
      </c>
      <c r="B3" s="11" t="s">
        <v>42</v>
      </c>
      <c r="C3" s="12" t="s">
        <v>65</v>
      </c>
    </row>
    <row r="4" spans="1:3">
      <c r="A4" s="9" t="s">
        <v>1</v>
      </c>
      <c r="B4" s="11" t="s">
        <v>136</v>
      </c>
      <c r="C4" s="12" t="s">
        <v>66</v>
      </c>
    </row>
    <row r="5" spans="1:3">
      <c r="A5" s="9" t="s">
        <v>2</v>
      </c>
      <c r="B5" s="11" t="s">
        <v>293</v>
      </c>
      <c r="C5" s="12" t="s">
        <v>67</v>
      </c>
    </row>
    <row r="6" spans="1:3">
      <c r="A6" s="9" t="s">
        <v>3</v>
      </c>
      <c r="B6" s="11" t="s">
        <v>43</v>
      </c>
      <c r="C6" s="12" t="s">
        <v>68</v>
      </c>
    </row>
    <row r="7" spans="1:3">
      <c r="A7" s="9" t="s">
        <v>17</v>
      </c>
      <c r="B7" s="10" t="s">
        <v>44</v>
      </c>
      <c r="C7" s="12" t="s">
        <v>69</v>
      </c>
    </row>
    <row r="8" spans="1:3">
      <c r="A8" s="11" t="s">
        <v>208</v>
      </c>
      <c r="B8" s="11" t="s">
        <v>137</v>
      </c>
      <c r="C8" s="12" t="s">
        <v>70</v>
      </c>
    </row>
    <row r="9" spans="1:3">
      <c r="A9" s="11" t="s">
        <v>251</v>
      </c>
      <c r="B9" s="11" t="s">
        <v>138</v>
      </c>
      <c r="C9" s="12" t="s">
        <v>239</v>
      </c>
    </row>
    <row r="10" spans="1:3">
      <c r="A10" s="11" t="s">
        <v>3</v>
      </c>
      <c r="B10" s="11" t="s">
        <v>230</v>
      </c>
      <c r="C10" s="12" t="s">
        <v>231</v>
      </c>
    </row>
    <row r="11" spans="1:3">
      <c r="A11" s="9" t="s">
        <v>17</v>
      </c>
      <c r="B11" s="10" t="s">
        <v>247</v>
      </c>
      <c r="C11" s="12" t="s">
        <v>144</v>
      </c>
    </row>
    <row r="12" spans="1:3">
      <c r="A12" s="9" t="s">
        <v>115</v>
      </c>
      <c r="B12" s="10" t="s">
        <v>294</v>
      </c>
      <c r="C12" s="12" t="s">
        <v>71</v>
      </c>
    </row>
    <row r="13" spans="1:3">
      <c r="A13" s="9" t="s">
        <v>3</v>
      </c>
      <c r="B13" s="11" t="s">
        <v>295</v>
      </c>
      <c r="C13" s="12" t="s">
        <v>303</v>
      </c>
    </row>
    <row r="14" spans="1:3">
      <c r="A14" s="9" t="s">
        <v>17</v>
      </c>
      <c r="B14" s="11" t="s">
        <v>45</v>
      </c>
      <c r="C14" s="12" t="s">
        <v>145</v>
      </c>
    </row>
    <row r="15" spans="1:3">
      <c r="A15" s="8" t="s">
        <v>4</v>
      </c>
      <c r="B15" s="11" t="s">
        <v>139</v>
      </c>
      <c r="C15" s="12" t="s">
        <v>304</v>
      </c>
    </row>
    <row r="16" spans="1:3">
      <c r="A16" s="8" t="s">
        <v>104</v>
      </c>
      <c r="B16" s="11" t="s">
        <v>46</v>
      </c>
      <c r="C16" s="12" t="s">
        <v>305</v>
      </c>
    </row>
    <row r="17" spans="1:3">
      <c r="A17" s="9" t="s">
        <v>233</v>
      </c>
      <c r="B17" s="11" t="s">
        <v>47</v>
      </c>
      <c r="C17" s="12" t="s">
        <v>306</v>
      </c>
    </row>
    <row r="18" spans="1:3">
      <c r="A18" s="9" t="s">
        <v>269</v>
      </c>
      <c r="B18" s="11" t="s">
        <v>48</v>
      </c>
      <c r="C18" s="12" t="s">
        <v>307</v>
      </c>
    </row>
    <row r="19" spans="1:3">
      <c r="A19" s="9" t="s">
        <v>105</v>
      </c>
      <c r="B19" s="11" t="s">
        <v>140</v>
      </c>
      <c r="C19" s="12" t="s">
        <v>308</v>
      </c>
    </row>
    <row r="20" spans="1:3">
      <c r="A20" s="9" t="s">
        <v>245</v>
      </c>
      <c r="B20" s="11" t="s">
        <v>296</v>
      </c>
      <c r="C20" s="12" t="s">
        <v>309</v>
      </c>
    </row>
    <row r="21" spans="1:3">
      <c r="A21" s="11" t="s">
        <v>131</v>
      </c>
      <c r="B21" s="11" t="s">
        <v>49</v>
      </c>
      <c r="C21" s="12" t="s">
        <v>146</v>
      </c>
    </row>
    <row r="22" spans="1:3">
      <c r="A22" s="9" t="s">
        <v>224</v>
      </c>
      <c r="B22" s="11" t="s">
        <v>50</v>
      </c>
      <c r="C22" s="12" t="s">
        <v>310</v>
      </c>
    </row>
    <row r="23" spans="1:3">
      <c r="A23" s="9" t="s">
        <v>106</v>
      </c>
      <c r="B23" s="11" t="s">
        <v>51</v>
      </c>
      <c r="C23" s="12" t="s">
        <v>72</v>
      </c>
    </row>
    <row r="24" spans="1:3">
      <c r="A24" s="11" t="s">
        <v>3</v>
      </c>
      <c r="B24" s="11" t="s">
        <v>52</v>
      </c>
      <c r="C24" s="12" t="s">
        <v>211</v>
      </c>
    </row>
    <row r="25" spans="1:3">
      <c r="A25" s="8" t="s">
        <v>17</v>
      </c>
      <c r="B25" s="11" t="s">
        <v>53</v>
      </c>
      <c r="C25" s="12" t="s">
        <v>73</v>
      </c>
    </row>
    <row r="26" spans="1:3">
      <c r="A26" s="12" t="s">
        <v>5</v>
      </c>
      <c r="B26" s="11" t="s">
        <v>54</v>
      </c>
      <c r="C26" s="12" t="s">
        <v>74</v>
      </c>
    </row>
    <row r="27" spans="1:3">
      <c r="A27" s="12" t="s">
        <v>252</v>
      </c>
      <c r="B27" s="11" t="s">
        <v>297</v>
      </c>
      <c r="C27" s="12" t="s">
        <v>75</v>
      </c>
    </row>
    <row r="28" spans="1:3">
      <c r="A28" s="8" t="s">
        <v>234</v>
      </c>
      <c r="B28" s="11" t="s">
        <v>298</v>
      </c>
      <c r="C28" s="12" t="s">
        <v>76</v>
      </c>
    </row>
    <row r="29" spans="1:3">
      <c r="A29" s="9" t="s">
        <v>253</v>
      </c>
      <c r="B29" s="11" t="s">
        <v>299</v>
      </c>
      <c r="C29" s="12" t="s">
        <v>240</v>
      </c>
    </row>
    <row r="30" spans="1:3">
      <c r="A30" s="9" t="s">
        <v>254</v>
      </c>
      <c r="B30" s="11" t="s">
        <v>300</v>
      </c>
      <c r="C30" s="12" t="s">
        <v>77</v>
      </c>
    </row>
    <row r="31" spans="1:3">
      <c r="A31" s="11" t="s">
        <v>246</v>
      </c>
      <c r="B31" s="11" t="s">
        <v>301</v>
      </c>
      <c r="C31" s="12" t="s">
        <v>78</v>
      </c>
    </row>
    <row r="32" spans="1:3">
      <c r="A32" s="9" t="s">
        <v>270</v>
      </c>
      <c r="B32" s="11" t="s">
        <v>55</v>
      </c>
      <c r="C32" s="12" t="s">
        <v>212</v>
      </c>
    </row>
    <row r="33" spans="1:3">
      <c r="A33" s="9" t="s">
        <v>271</v>
      </c>
      <c r="B33" s="11" t="s">
        <v>56</v>
      </c>
      <c r="C33" s="12" t="s">
        <v>79</v>
      </c>
    </row>
    <row r="34" spans="1:3">
      <c r="A34" s="9" t="s">
        <v>272</v>
      </c>
      <c r="B34" s="11" t="s">
        <v>142</v>
      </c>
      <c r="C34" s="12" t="s">
        <v>80</v>
      </c>
    </row>
    <row r="35" spans="1:3">
      <c r="A35" s="9" t="s">
        <v>107</v>
      </c>
      <c r="B35" s="11" t="s">
        <v>57</v>
      </c>
      <c r="C35" s="12" t="s">
        <v>241</v>
      </c>
    </row>
    <row r="36" spans="1:3">
      <c r="A36" s="9" t="s">
        <v>6</v>
      </c>
      <c r="B36" s="11" t="s">
        <v>58</v>
      </c>
      <c r="C36" s="12" t="s">
        <v>311</v>
      </c>
    </row>
    <row r="37" spans="1:3">
      <c r="A37" s="9" t="s">
        <v>255</v>
      </c>
      <c r="B37" s="11" t="s">
        <v>59</v>
      </c>
      <c r="C37" s="12" t="s">
        <v>242</v>
      </c>
    </row>
    <row r="38" spans="1:3">
      <c r="A38" s="9" t="s">
        <v>108</v>
      </c>
      <c r="B38" s="11" t="s">
        <v>60</v>
      </c>
      <c r="C38" s="12" t="s">
        <v>81</v>
      </c>
    </row>
    <row r="39" spans="1:3">
      <c r="A39" s="9" t="s">
        <v>273</v>
      </c>
      <c r="B39" t="s">
        <v>92</v>
      </c>
      <c r="C39" s="12" t="s">
        <v>147</v>
      </c>
    </row>
    <row r="40" spans="1:3">
      <c r="A40" s="9" t="s">
        <v>8</v>
      </c>
      <c r="B40" t="s">
        <v>61</v>
      </c>
      <c r="C40" s="12" t="s">
        <v>82</v>
      </c>
    </row>
    <row r="41" spans="1:3">
      <c r="A41" s="9" t="s">
        <v>7</v>
      </c>
      <c r="B41" t="s">
        <v>62</v>
      </c>
      <c r="C41" s="12" t="s">
        <v>91</v>
      </c>
    </row>
    <row r="42" spans="1:3">
      <c r="A42" s="9" t="s">
        <v>109</v>
      </c>
      <c r="B42" t="s">
        <v>141</v>
      </c>
      <c r="C42" s="12" t="s">
        <v>72</v>
      </c>
    </row>
    <row r="43" spans="1:3">
      <c r="A43" s="9" t="s">
        <v>132</v>
      </c>
      <c r="B43" t="s">
        <v>63</v>
      </c>
      <c r="C43" s="12" t="s">
        <v>213</v>
      </c>
    </row>
    <row r="44" spans="1:3">
      <c r="A44" s="9" t="s">
        <v>133</v>
      </c>
      <c r="B44" t="s">
        <v>232</v>
      </c>
      <c r="C44" s="12" t="s">
        <v>97</v>
      </c>
    </row>
    <row r="45" spans="1:3">
      <c r="A45" s="9" t="s">
        <v>110</v>
      </c>
      <c r="B45" t="s">
        <v>64</v>
      </c>
      <c r="C45" s="12" t="s">
        <v>83</v>
      </c>
    </row>
    <row r="46" spans="1:3">
      <c r="A46" s="9" t="s">
        <v>3</v>
      </c>
      <c r="B46" t="s">
        <v>302</v>
      </c>
      <c r="C46" s="12" t="s">
        <v>84</v>
      </c>
    </row>
    <row r="47" spans="1:3">
      <c r="A47" s="9" t="s">
        <v>17</v>
      </c>
      <c r="C47" s="12" t="s">
        <v>214</v>
      </c>
    </row>
    <row r="48" spans="1:3">
      <c r="A48" s="9" t="s">
        <v>105</v>
      </c>
      <c r="C48" s="12" t="s">
        <v>312</v>
      </c>
    </row>
    <row r="49" spans="1:3">
      <c r="A49" s="9" t="s">
        <v>9</v>
      </c>
      <c r="C49" s="12" t="s">
        <v>313</v>
      </c>
    </row>
    <row r="50" spans="1:3">
      <c r="A50" s="9" t="s">
        <v>10</v>
      </c>
      <c r="C50" s="12" t="s">
        <v>148</v>
      </c>
    </row>
    <row r="51" spans="1:3">
      <c r="A51" s="9" t="s">
        <v>274</v>
      </c>
      <c r="C51" s="12" t="s">
        <v>149</v>
      </c>
    </row>
    <row r="52" spans="1:3">
      <c r="A52" s="9" t="s">
        <v>225</v>
      </c>
      <c r="C52" s="12" t="s">
        <v>314</v>
      </c>
    </row>
    <row r="53" spans="1:3">
      <c r="A53" s="9" t="s">
        <v>275</v>
      </c>
      <c r="C53" s="12" t="s">
        <v>150</v>
      </c>
    </row>
    <row r="54" spans="1:3">
      <c r="A54" s="11" t="s">
        <v>111</v>
      </c>
      <c r="C54" s="12" t="s">
        <v>151</v>
      </c>
    </row>
    <row r="55" spans="1:3">
      <c r="A55" s="11" t="s">
        <v>112</v>
      </c>
      <c r="C55" s="12" t="s">
        <v>315</v>
      </c>
    </row>
    <row r="56" spans="1:3">
      <c r="A56" s="9" t="s">
        <v>113</v>
      </c>
      <c r="C56" s="12" t="s">
        <v>85</v>
      </c>
    </row>
    <row r="57" spans="1:3">
      <c r="A57" s="9" t="s">
        <v>11</v>
      </c>
      <c r="C57" s="12" t="s">
        <v>215</v>
      </c>
    </row>
    <row r="58" spans="1:3">
      <c r="A58" s="9" t="s">
        <v>226</v>
      </c>
      <c r="C58" s="12" t="s">
        <v>316</v>
      </c>
    </row>
    <row r="59" spans="1:3">
      <c r="A59" s="8" t="s">
        <v>209</v>
      </c>
      <c r="C59" s="12" t="s">
        <v>152</v>
      </c>
    </row>
    <row r="60" spans="1:3">
      <c r="A60" s="9" t="s">
        <v>276</v>
      </c>
      <c r="C60" s="12" t="s">
        <v>317</v>
      </c>
    </row>
    <row r="61" spans="1:3">
      <c r="A61" s="9" t="s">
        <v>277</v>
      </c>
      <c r="C61" s="12" t="s">
        <v>318</v>
      </c>
    </row>
    <row r="62" spans="1:3">
      <c r="A62" s="9" t="s">
        <v>12</v>
      </c>
      <c r="C62" s="12" t="s">
        <v>86</v>
      </c>
    </row>
    <row r="63" spans="1:3">
      <c r="A63" s="9" t="s">
        <v>278</v>
      </c>
      <c r="C63" s="12" t="s">
        <v>87</v>
      </c>
    </row>
    <row r="64" spans="1:3">
      <c r="A64" s="9" t="s">
        <v>256</v>
      </c>
      <c r="C64" s="12" t="s">
        <v>88</v>
      </c>
    </row>
    <row r="65" spans="1:3">
      <c r="A65" s="9" t="s">
        <v>114</v>
      </c>
      <c r="C65" s="12" t="s">
        <v>89</v>
      </c>
    </row>
    <row r="66" spans="1:3">
      <c r="A66" s="11" t="s">
        <v>13</v>
      </c>
      <c r="C66" s="12" t="s">
        <v>90</v>
      </c>
    </row>
    <row r="67" spans="1:3">
      <c r="A67" s="9" t="s">
        <v>14</v>
      </c>
      <c r="C67" s="12" t="s">
        <v>248</v>
      </c>
    </row>
    <row r="68" spans="1:3">
      <c r="A68" s="9" t="s">
        <v>279</v>
      </c>
      <c r="C68" s="12" t="s">
        <v>319</v>
      </c>
    </row>
    <row r="69" spans="1:3">
      <c r="A69" s="9" t="s">
        <v>15</v>
      </c>
      <c r="C69" s="12" t="s">
        <v>320</v>
      </c>
    </row>
    <row r="70" spans="1:3">
      <c r="A70" s="9" t="s">
        <v>16</v>
      </c>
      <c r="C70" s="12" t="s">
        <v>321</v>
      </c>
    </row>
    <row r="71" spans="1:3">
      <c r="A71" s="9" t="s">
        <v>3</v>
      </c>
      <c r="C71" s="12" t="s">
        <v>153</v>
      </c>
    </row>
    <row r="72" spans="1:3">
      <c r="A72" s="9" t="s">
        <v>17</v>
      </c>
      <c r="C72" s="12" t="s">
        <v>91</v>
      </c>
    </row>
    <row r="73" spans="1:3">
      <c r="A73" s="8" t="s">
        <v>210</v>
      </c>
      <c r="C73" s="12" t="s">
        <v>92</v>
      </c>
    </row>
    <row r="74" spans="1:3">
      <c r="A74" s="9" t="s">
        <v>18</v>
      </c>
      <c r="C74" s="12" t="s">
        <v>93</v>
      </c>
    </row>
    <row r="75" spans="1:3">
      <c r="A75" s="9" t="s">
        <v>3</v>
      </c>
      <c r="C75" s="12" t="s">
        <v>243</v>
      </c>
    </row>
    <row r="76" spans="1:3">
      <c r="A76" s="9" t="s">
        <v>17</v>
      </c>
      <c r="C76" s="12" t="s">
        <v>322</v>
      </c>
    </row>
    <row r="77" spans="1:3">
      <c r="A77" s="9" t="s">
        <v>115</v>
      </c>
      <c r="C77" s="12" t="s">
        <v>323</v>
      </c>
    </row>
    <row r="78" spans="1:3">
      <c r="A78" s="9" t="s">
        <v>3</v>
      </c>
      <c r="C78" s="12" t="s">
        <v>94</v>
      </c>
    </row>
    <row r="79" spans="1:3">
      <c r="A79" s="9" t="s">
        <v>17</v>
      </c>
      <c r="C79" s="12" t="s">
        <v>154</v>
      </c>
    </row>
    <row r="80" spans="1:3">
      <c r="A80" s="9" t="s">
        <v>19</v>
      </c>
      <c r="C80" s="12" t="s">
        <v>155</v>
      </c>
    </row>
    <row r="81" spans="1:3">
      <c r="A81" s="9" t="s">
        <v>20</v>
      </c>
      <c r="C81" s="12" t="s">
        <v>216</v>
      </c>
    </row>
    <row r="82" spans="1:3">
      <c r="A82" s="11" t="s">
        <v>118</v>
      </c>
      <c r="C82" s="12" t="s">
        <v>217</v>
      </c>
    </row>
    <row r="83" spans="1:3">
      <c r="A83" s="9" t="s">
        <v>135</v>
      </c>
      <c r="C83" s="12" t="s">
        <v>218</v>
      </c>
    </row>
    <row r="84" spans="1:3">
      <c r="A84" s="9" t="s">
        <v>134</v>
      </c>
      <c r="C84" s="12" t="s">
        <v>324</v>
      </c>
    </row>
    <row r="85" spans="1:3">
      <c r="A85" s="9" t="s">
        <v>116</v>
      </c>
      <c r="C85" s="12" t="s">
        <v>325</v>
      </c>
    </row>
    <row r="86" spans="1:3">
      <c r="A86" s="9" t="s">
        <v>21</v>
      </c>
      <c r="C86" s="12" t="s">
        <v>326</v>
      </c>
    </row>
    <row r="87" spans="1:3">
      <c r="A87" s="9" t="s">
        <v>117</v>
      </c>
      <c r="C87" s="12" t="s">
        <v>156</v>
      </c>
    </row>
    <row r="88" spans="1:3">
      <c r="A88" s="9" t="s">
        <v>227</v>
      </c>
      <c r="C88" s="12" t="s">
        <v>327</v>
      </c>
    </row>
    <row r="89" spans="1:3">
      <c r="A89" s="9" t="s">
        <v>280</v>
      </c>
      <c r="C89" s="12" t="s">
        <v>328</v>
      </c>
    </row>
    <row r="90" spans="1:3">
      <c r="A90" s="11" t="s">
        <v>22</v>
      </c>
      <c r="C90" t="s">
        <v>157</v>
      </c>
    </row>
    <row r="91" spans="1:3">
      <c r="A91" s="9" t="s">
        <v>23</v>
      </c>
      <c r="C91" t="s">
        <v>329</v>
      </c>
    </row>
    <row r="92" spans="1:3">
      <c r="A92" s="9" t="s">
        <v>281</v>
      </c>
      <c r="C92" t="s">
        <v>330</v>
      </c>
    </row>
    <row r="93" spans="1:3">
      <c r="A93" s="9" t="s">
        <v>24</v>
      </c>
      <c r="C93" t="s">
        <v>219</v>
      </c>
    </row>
    <row r="94" spans="1:3">
      <c r="A94" s="9" t="s">
        <v>282</v>
      </c>
      <c r="C94" t="s">
        <v>220</v>
      </c>
    </row>
    <row r="95" spans="1:3">
      <c r="A95" s="9" t="s">
        <v>257</v>
      </c>
      <c r="C95" t="s">
        <v>221</v>
      </c>
    </row>
    <row r="96" spans="1:3">
      <c r="A96" s="9" t="s">
        <v>25</v>
      </c>
      <c r="C96" t="s">
        <v>95</v>
      </c>
    </row>
    <row r="97" spans="1:3">
      <c r="A97" s="9" t="s">
        <v>26</v>
      </c>
      <c r="C97" t="s">
        <v>331</v>
      </c>
    </row>
    <row r="98" spans="1:3">
      <c r="A98" s="9" t="s">
        <v>27</v>
      </c>
      <c r="C98" t="s">
        <v>332</v>
      </c>
    </row>
    <row r="99" spans="1:3">
      <c r="A99" s="9" t="s">
        <v>20</v>
      </c>
      <c r="C99" t="s">
        <v>222</v>
      </c>
    </row>
    <row r="100" spans="1:3">
      <c r="A100" s="9" t="s">
        <v>118</v>
      </c>
      <c r="C100" t="s">
        <v>333</v>
      </c>
    </row>
    <row r="101" spans="1:3">
      <c r="A101" s="8" t="s">
        <v>135</v>
      </c>
      <c r="C101" t="s">
        <v>223</v>
      </c>
    </row>
    <row r="102" spans="1:3">
      <c r="A102" s="9" t="s">
        <v>134</v>
      </c>
      <c r="C102" t="s">
        <v>158</v>
      </c>
    </row>
    <row r="103" spans="1:3">
      <c r="A103" s="9" t="s">
        <v>116</v>
      </c>
      <c r="C103" t="s">
        <v>334</v>
      </c>
    </row>
    <row r="104" spans="1:3">
      <c r="A104" s="9" t="s">
        <v>21</v>
      </c>
      <c r="C104" t="s">
        <v>335</v>
      </c>
    </row>
    <row r="105" spans="1:3">
      <c r="A105" s="9" t="s">
        <v>283</v>
      </c>
      <c r="C105" t="s">
        <v>159</v>
      </c>
    </row>
    <row r="106" spans="1:3">
      <c r="A106" s="9" t="s">
        <v>284</v>
      </c>
      <c r="C106" t="s">
        <v>160</v>
      </c>
    </row>
    <row r="107" spans="1:3">
      <c r="A107" s="9" t="s">
        <v>119</v>
      </c>
      <c r="C107" t="s">
        <v>103</v>
      </c>
    </row>
    <row r="108" spans="1:3">
      <c r="A108" s="9" t="s">
        <v>285</v>
      </c>
      <c r="C108" t="s">
        <v>96</v>
      </c>
    </row>
    <row r="109" spans="1:3">
      <c r="A109" s="9" t="s">
        <v>120</v>
      </c>
      <c r="C109" t="s">
        <v>161</v>
      </c>
    </row>
    <row r="110" spans="1:3">
      <c r="A110" s="9" t="s">
        <v>286</v>
      </c>
      <c r="C110" t="s">
        <v>97</v>
      </c>
    </row>
    <row r="111" spans="1:3">
      <c r="A111" s="9" t="s">
        <v>121</v>
      </c>
      <c r="C111" t="s">
        <v>72</v>
      </c>
    </row>
    <row r="112" spans="1:3">
      <c r="A112" s="9" t="s">
        <v>28</v>
      </c>
      <c r="C112" t="s">
        <v>92</v>
      </c>
    </row>
    <row r="113" spans="1:3">
      <c r="A113" s="9" t="s">
        <v>29</v>
      </c>
      <c r="C113" t="s">
        <v>98</v>
      </c>
    </row>
    <row r="114" spans="1:3">
      <c r="A114" s="9" t="s">
        <v>287</v>
      </c>
      <c r="C114" t="s">
        <v>92</v>
      </c>
    </row>
    <row r="115" spans="1:3">
      <c r="A115" t="s">
        <v>30</v>
      </c>
      <c r="C115" t="s">
        <v>99</v>
      </c>
    </row>
    <row r="116" spans="1:3">
      <c r="A116" s="11" t="s">
        <v>122</v>
      </c>
      <c r="C116" t="s">
        <v>162</v>
      </c>
    </row>
    <row r="117" spans="1:3">
      <c r="A117" s="11" t="s">
        <v>31</v>
      </c>
      <c r="C117" t="s">
        <v>244</v>
      </c>
    </row>
    <row r="118" spans="1:3">
      <c r="A118" s="9" t="s">
        <v>32</v>
      </c>
      <c r="C118" t="s">
        <v>100</v>
      </c>
    </row>
    <row r="119" spans="1:3">
      <c r="A119" s="9" t="s">
        <v>122</v>
      </c>
      <c r="C119" t="s">
        <v>101</v>
      </c>
    </row>
    <row r="120" spans="1:3">
      <c r="A120" s="9" t="s">
        <v>31</v>
      </c>
      <c r="C120" t="s">
        <v>102</v>
      </c>
    </row>
    <row r="121" spans="1:3">
      <c r="A121" s="9" t="s">
        <v>228</v>
      </c>
    </row>
    <row r="122" spans="1:3">
      <c r="A122" s="9" t="s">
        <v>288</v>
      </c>
    </row>
    <row r="123" spans="1:3">
      <c r="A123" s="9" t="s">
        <v>229</v>
      </c>
    </row>
    <row r="124" spans="1:3">
      <c r="A124" s="11" t="s">
        <v>33</v>
      </c>
    </row>
    <row r="125" spans="1:3">
      <c r="A125" s="9" t="s">
        <v>122</v>
      </c>
    </row>
    <row r="126" spans="1:3">
      <c r="A126" s="9" t="s">
        <v>31</v>
      </c>
    </row>
    <row r="127" spans="1:3">
      <c r="A127" s="9" t="s">
        <v>123</v>
      </c>
    </row>
    <row r="128" spans="1:3">
      <c r="A128" s="9" t="s">
        <v>250</v>
      </c>
    </row>
    <row r="129" spans="1:1">
      <c r="A129" s="9" t="s">
        <v>249</v>
      </c>
    </row>
    <row r="130" spans="1:1">
      <c r="A130" s="8" t="s">
        <v>126</v>
      </c>
    </row>
    <row r="131" spans="1:1">
      <c r="A131" s="8" t="s">
        <v>289</v>
      </c>
    </row>
    <row r="132" spans="1:1">
      <c r="A132" s="9" t="s">
        <v>124</v>
      </c>
    </row>
    <row r="133" spans="1:1">
      <c r="A133" s="9" t="s">
        <v>290</v>
      </c>
    </row>
    <row r="134" spans="1:1">
      <c r="A134" s="8" t="s">
        <v>125</v>
      </c>
    </row>
    <row r="135" spans="1:1">
      <c r="A135" s="8" t="s">
        <v>291</v>
      </c>
    </row>
    <row r="136" spans="1:1">
      <c r="A136" s="9" t="s">
        <v>250</v>
      </c>
    </row>
    <row r="137" spans="1:1">
      <c r="A137" s="9" t="s">
        <v>249</v>
      </c>
    </row>
    <row r="138" spans="1:1">
      <c r="A138" s="9" t="s">
        <v>126</v>
      </c>
    </row>
    <row r="139" spans="1:1">
      <c r="A139" s="9" t="s">
        <v>289</v>
      </c>
    </row>
    <row r="140" spans="1:1">
      <c r="A140" s="9" t="s">
        <v>124</v>
      </c>
    </row>
    <row r="141" spans="1:1">
      <c r="A141" t="s">
        <v>290</v>
      </c>
    </row>
    <row r="142" spans="1:1">
      <c r="A142" t="s">
        <v>125</v>
      </c>
    </row>
    <row r="143" spans="1:1">
      <c r="A143" t="s">
        <v>292</v>
      </c>
    </row>
    <row r="144" spans="1:1">
      <c r="A144" t="s">
        <v>127</v>
      </c>
    </row>
    <row r="145" spans="1:1">
      <c r="A145" t="s">
        <v>92</v>
      </c>
    </row>
    <row r="146" spans="1:1">
      <c r="A146" t="s">
        <v>34</v>
      </c>
    </row>
    <row r="147" spans="1:1">
      <c r="A147" t="s">
        <v>35</v>
      </c>
    </row>
    <row r="148" spans="1:1">
      <c r="A148" t="s">
        <v>36</v>
      </c>
    </row>
    <row r="149" spans="1:1">
      <c r="A149" t="s">
        <v>235</v>
      </c>
    </row>
    <row r="150" spans="1:1">
      <c r="A150" t="s">
        <v>236</v>
      </c>
    </row>
    <row r="151" spans="1:1">
      <c r="A151" t="s">
        <v>37</v>
      </c>
    </row>
    <row r="152" spans="1:1">
      <c r="A152" t="s">
        <v>128</v>
      </c>
    </row>
    <row r="153" spans="1:1">
      <c r="A153" t="s">
        <v>237</v>
      </c>
    </row>
    <row r="154" spans="1:1">
      <c r="A154" t="s">
        <v>238</v>
      </c>
    </row>
    <row r="155" spans="1:1">
      <c r="A155" t="s">
        <v>129</v>
      </c>
    </row>
    <row r="156" spans="1:1">
      <c r="A156" t="s">
        <v>38</v>
      </c>
    </row>
    <row r="157" spans="1:1">
      <c r="A157" t="s">
        <v>130</v>
      </c>
    </row>
    <row r="158" spans="1:1">
      <c r="A158" t="s">
        <v>39</v>
      </c>
    </row>
    <row r="159" spans="1:1">
      <c r="A159" t="s">
        <v>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:properties xmlns:p="http://schemas.microsoft.com/office/2006/metadata/properties" xmlns:xsi="http://www.w3.org/2001/XMLSchema-instance">
  <documentManagement>
    <ContentTypeId xmlns="http://schemas.microsoft.com/sharepoint/v3">0x00B1E9F3E0B627894EBC19A69D818F2C4C</ContentTypeId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097AE84A-A25A-48BC-89F4-3A79C66C2714}">
  <ds:schemaRefs>
    <ds:schemaRef ds:uri="http://schemas.microsoft.com/office/2006/metadata/propertie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84918530-C602-4F23-AD77-05A1AB9694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New Data</vt:lpstr>
      <vt:lpstr>Financial Highlight</vt:lpstr>
      <vt:lpstr>Financial Ratio</vt:lpstr>
      <vt:lpstr>Balance Sheet</vt:lpstr>
      <vt:lpstr>Income Statement</vt:lpstr>
      <vt:lpstr>Cash Flow Statement</vt:lpstr>
      <vt:lpstr>Temp</vt:lpstr>
      <vt:lpstr>ItemLookup</vt:lpstr>
      <vt:lpstr>'Financial Highlight'!Print_Area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AnaTo</cp:lastModifiedBy>
  <dcterms:created xsi:type="dcterms:W3CDTF">2010-07-08T15:18:46Z</dcterms:created>
  <dcterms:modified xsi:type="dcterms:W3CDTF">2011-03-15T07:51:49Z</dcterms:modified>
</cp:coreProperties>
</file>