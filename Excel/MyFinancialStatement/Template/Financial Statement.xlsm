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8445" firstSheet="4" activeTab="7"/>
  </bookViews>
  <sheets>
    <sheet name="New Data" sheetId="6" r:id="rId1"/>
    <sheet name="Financial Highlight" sheetId="1" r:id="rId2"/>
    <sheet name="Financial Ratio" sheetId="2" r:id="rId3"/>
    <sheet name="Balance Sheet" sheetId="3" r:id="rId4"/>
    <sheet name="Income Statement" sheetId="4" r:id="rId5"/>
    <sheet name="Cash Flow Statement" sheetId="5" r:id="rId6"/>
    <sheet name="Temp" sheetId="7" r:id="rId7"/>
    <sheet name="ItemLookup" sheetId="9" r:id="rId8"/>
  </sheets>
  <functionGroups builtInGroupCount="17"/>
  <definedNames>
    <definedName name="_xlnm.Print_Area" localSheetId="1">'Financial Highlight'!$A$1:$W$176</definedName>
  </definedNames>
  <calcPr calcId="145621"/>
</workbook>
</file>

<file path=xl/calcChain.xml><?xml version="1.0" encoding="utf-8"?>
<calcChain xmlns="http://schemas.openxmlformats.org/spreadsheetml/2006/main">
  <c r="A1" i="2" l="1"/>
  <c r="A65" i="2" l="1"/>
  <c r="A64" i="2"/>
  <c r="A63" i="2"/>
  <c r="A42" i="2"/>
  <c r="A41" i="2"/>
  <c r="A45" i="2"/>
  <c r="A44" i="2"/>
  <c r="A43" i="2"/>
  <c r="A40" i="2"/>
  <c r="A39" i="2"/>
  <c r="A36" i="2"/>
  <c r="A35" i="2"/>
  <c r="A34" i="2"/>
  <c r="A33" i="2"/>
  <c r="A32" i="2"/>
  <c r="A26" i="2"/>
  <c r="A27" i="2" s="1"/>
  <c r="A25" i="2"/>
  <c r="A24" i="2"/>
  <c r="A23" i="2"/>
  <c r="A22" i="2"/>
  <c r="A21" i="2"/>
  <c r="A18" i="2"/>
  <c r="A17" i="2"/>
  <c r="A14" i="2"/>
  <c r="A13" i="2"/>
  <c r="A12" i="2"/>
  <c r="A9" i="2"/>
  <c r="A10" i="2"/>
  <c r="A11" i="2"/>
  <c r="A8" i="2"/>
  <c r="A7" i="2"/>
  <c r="A5" i="2"/>
  <c r="A4" i="2"/>
  <c r="A3" i="2"/>
  <c r="A29" i="2" l="1"/>
  <c r="A28" i="2"/>
</calcChain>
</file>

<file path=xl/comments1.xml><?xml version="1.0" encoding="utf-8"?>
<comments xmlns="http://schemas.openxmlformats.org/spreadsheetml/2006/main">
  <authors>
    <author>Fookmi</author>
    <author>Bobe</author>
    <author>AnaTo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อัตรากำไรขั้นต้น</t>
        </r>
        <r>
          <rPr>
            <sz val="9"/>
            <color indexed="81"/>
            <rFont val="Tahoma"/>
            <family val="2"/>
          </rPr>
          <t xml:space="preserve">
สามารถบอกได้ถึงภาวะการแข่งขันของตลาด (แล้วแต่ประเภทธุรกิจ)
โดยทั่วไปแล้วถ้าอัตรากำไรขั้นต้นมากแสดงว่าธุรกิจมีการแข่งขั้นน้อย
(คู่แข่งน้อย, เป็นผู้นำตลาด, ฯลฯ)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เพิ่มขึ้นหรือคงที่ ยิ่งมากยิ่งดี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ค่าใช้จ่ายทั่วไป / กำไรขั้นต้น</t>
        </r>
        <r>
          <rPr>
            <sz val="9"/>
            <color indexed="81"/>
            <rFont val="Tahoma"/>
            <family val="2"/>
          </rPr>
          <t xml:space="preserve">
อัตราค่าใช้จ่ายนี้ แต่ละธุรกิจจะแตกต่างกันไป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ควรลดลง หรือคงที่ ยิ่งน้อยยิ่งดี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อัตราค่าวิจัยและพัฒนา / กำไรขั้นต้น</t>
        </r>
        <r>
          <rPr>
            <sz val="9"/>
            <color indexed="81"/>
            <rFont val="Tahoma"/>
            <family val="2"/>
          </rPr>
          <t xml:space="preserve">
ค่าใช้จ่ายในการวิจัยและพัฒนาสินค้า และผลิตภัณฑ์ใหม่
ถ้าค่ามากแสดงว่าสินค้าตกรุ่นเร็ว </t>
        </r>
        <r>
          <rPr>
            <b/>
            <i/>
            <u/>
            <sz val="9"/>
            <color indexed="81"/>
            <rFont val="Tahoma"/>
            <family val="2"/>
          </rPr>
          <t>ไม่ดีแน่ในระยะยาว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ควรลดลง หรือคงที่ ยิ่งน้อยยิ่งดี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อัตราค่าเสื่อมราคา / กำไรขั้นต้น</t>
        </r>
        <r>
          <rPr>
            <sz val="9"/>
            <color indexed="81"/>
            <rFont val="Tahoma"/>
            <family val="2"/>
          </rPr>
          <t xml:space="preserve">
เป็นการคิดต้นทุนของเครื่องจักร หรือเครื่องมือที่ใช้ในการผลิด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ควรลดลง หรือคงที่ ยิ่งน้อยยิ่งดี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อัตรากำไรจากการดำเนินงาน</t>
        </r>
        <r>
          <rPr>
            <sz val="9"/>
            <color indexed="81"/>
            <rFont val="Tahoma"/>
            <family val="2"/>
          </rPr>
          <t xml:space="preserve">
บอกถึงประสิทธิภาพในการทำกำไรของบริษัทโดยรวม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เพิ่มขึ้นหรือคงที่ ยิ่งมากยิ่งดี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 xml:space="preserve">อัตราจ่ายดอกเบีย ต่อ กำไรจากการดำเนินงาน
</t>
        </r>
        <r>
          <rPr>
            <sz val="9"/>
            <color indexed="81"/>
            <rFont val="Tahoma"/>
            <family val="2"/>
          </rPr>
          <t xml:space="preserve">มีมากแสดงว่าบริษัทต้องกู้เงินมาลงทุนมาก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ควรลดลง หรือคงที่ ยิ่งน้อยยิ่งดี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อัตรากำไรสุทธิ</t>
        </r>
        <r>
          <rPr>
            <sz val="9"/>
            <color indexed="81"/>
            <rFont val="Tahoma"/>
            <family val="2"/>
          </rPr>
          <t xml:space="preserve">
สามารถบอกได้ถึงภาวะการแข่งขันของตลาด (แล้วแต่ประเภทธุรกิจ)
โดยทั่วไปแล้วถ้าอัตรากำไรแสดงว่าธุรกิจมีการแข่งขั้นน้อย
(คู่แข่งน้อย, เป็นผู้นำตลาด, ฯลฯ)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เพิ่มขึ้นหรือคงที่ ยิ่งมากยิ่งดี
เปรียบเที่ยกับบริษัทในธุกกินเดียวกันแล้ว ควรมีค่ามากกว่า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ผลตอบแทนส่วนของผู้ถือหุ้น</t>
        </r>
        <r>
          <rPr>
            <sz val="9"/>
            <color indexed="81"/>
            <rFont val="Tahoma"/>
            <family val="2"/>
          </rPr>
          <t xml:space="preserve">
บอกให้รู้ถึงผลตอบแทนที่ได้รับจากเงินลงทุนที่เราลงไป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ยิ่งมากยิ่งดี</t>
        </r>
      </text>
    </comment>
    <comment ref="B13" authorId="1">
      <text>
        <r>
          <rPr>
            <b/>
            <sz val="9"/>
            <color indexed="81"/>
            <rFont val="Tahoma"/>
            <family val="2"/>
          </rPr>
          <t>ผลตอบแทนต่อทรัพย์สิน</t>
        </r>
        <r>
          <rPr>
            <sz val="9"/>
            <color indexed="81"/>
            <rFont val="Tahoma"/>
            <family val="2"/>
          </rPr>
          <t xml:space="preserve">
บอกให้รู้ถึงผลตอบแทนที่ได้รับจากทรัพย์สินของบริษัท
บอกได้ว่าบริษัทใช้ทรัพย์สินในการสร้างกำไรได้อย่างมีประสิทธิภาพเพียงใด
แต่ละประเภทธุรกิจจะมีค่าแตกต่างกัน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โดยทั่วไปแล้วยิ่งมากยิ่งดี แต่ถ้าเป็นกิจการขนาดใหญ่จะมีค่าไม่สูงมาก</t>
        </r>
      </text>
    </comment>
    <comment ref="B17" authorId="1">
      <text>
        <r>
          <rPr>
            <b/>
            <sz val="9"/>
            <color indexed="81"/>
            <rFont val="Tahoma"/>
            <family val="2"/>
          </rPr>
          <t>อัตราส่วนหมุนเวียน</t>
        </r>
        <r>
          <rPr>
            <sz val="9"/>
            <color indexed="81"/>
            <rFont val="Tahoma"/>
            <family val="2"/>
          </rPr>
          <t xml:space="preserve">
บอกถึงสภาพคล่องของบริษัท ยิ่งมาแสดงว่าบริษัทมีสภาพคล่องสูง
บอกถึงความสามารถให้การใช้คืนหนี้ระยะสั้น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โดยทั่วไปแล้วควรมีค่ามากกว่า 1
ต่ำกว่า 1 เป็นได้ว่าบริษัทอาจมีปัญหาในการจ่ายหนี้ระยะสั้น
แต่บริษัทที่มีกระแสเงินสดดีก็สามารถมีค่าต่ำได้ (มี Asset Turnover, Inventory Turnover สูง)</t>
        </r>
      </text>
    </comment>
    <comment ref="B18" authorId="1">
      <text>
        <r>
          <rPr>
            <b/>
            <sz val="9"/>
            <color indexed="81"/>
            <rFont val="Tahoma"/>
            <family val="2"/>
          </rPr>
          <t>อัตราส่วนหมุนเวียนเร็ว</t>
        </r>
        <r>
          <rPr>
            <sz val="9"/>
            <color indexed="81"/>
            <rFont val="Tahoma"/>
            <family val="2"/>
          </rPr>
          <t xml:space="preserve">
แสดงให้เห็นวาบริษัทมีความสามารถชำระหนี้ระยะสั้นได้แค่ไหน
โดยไม่ต้องรอขายสินค้าออกไป
ถ้าต่ำมากแสดงว่าเงินอาจจมอยู่ในสินค้าคงคลัง
</t>
        </r>
        <r>
          <rPr>
            <i/>
            <sz val="9"/>
            <color indexed="81"/>
            <rFont val="Tahoma"/>
            <family val="2"/>
          </rPr>
          <t>วิธีการใช้งาน</t>
        </r>
        <r>
          <rPr>
            <sz val="9"/>
            <color indexed="81"/>
            <rFont val="Tahoma"/>
            <family val="2"/>
          </rPr>
          <t xml:space="preserve">
โดยทั่วไปแล้วควรมีค่ามากกว่า 1
ต่ำกว่า 1 เป็นได้ว่าบริษัทอาจมีปัญหาในการจ่ายหนี้ระยะสั้น
แต่บริษัทที่มีกระแสเงินสดดีก็สามารถมีค่าต่ำได้ (มี Asset Turnover, Inventory Turnover สูง)</t>
        </r>
      </text>
    </comment>
    <comment ref="B21" authorId="1">
      <text>
        <r>
          <rPr>
            <b/>
            <sz val="9"/>
            <color indexed="81"/>
            <rFont val="Tahoma"/>
            <family val="2"/>
          </rPr>
          <t>ยอดขายสินค้าต่อวัน</t>
        </r>
      </text>
    </comment>
    <comment ref="B22" authorId="1">
      <text>
        <r>
          <rPr>
            <b/>
            <sz val="9"/>
            <color indexed="81"/>
            <rFont val="Tahoma"/>
            <family val="2"/>
          </rPr>
          <t>อัตรการหมุนเวียนสินทรัพย์</t>
        </r>
        <r>
          <rPr>
            <sz val="9"/>
            <color indexed="81"/>
            <rFont val="Tahoma"/>
            <family val="2"/>
          </rPr>
          <t xml:space="preserve">
บอกถึงประสิทธภาพในการใช้ทรัพย์สินในการสร้างรายได้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เพิ่มขึ้นหรือคงที่ ยิ่งมากยิ่งดี
ใช้เปรียบเที่กับบริษัทอื่นที่อยู่ในธุรกิจเดียวกัน</t>
        </r>
      </text>
    </comment>
    <comment ref="B23" authorId="1">
      <text>
        <r>
          <rPr>
            <b/>
            <sz val="9"/>
            <color indexed="81"/>
            <rFont val="Tahoma"/>
            <family val="2"/>
          </rPr>
          <t>อัตรการหมุนเวียนสินทรัพย์ถาวร</t>
        </r>
        <r>
          <rPr>
            <sz val="9"/>
            <color indexed="81"/>
            <rFont val="Tahoma"/>
            <family val="2"/>
          </rPr>
          <t xml:space="preserve">
บอกถึงประสิทธภาพในการใช้ทรัพย์สินถาวรในการสร้างรายได้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เพิ่มขึ้นหรือคงที่ ยิ่งมากยิ่งดี
ใช้เปรียบเที่กับบริษัทอื่นที่อยู่ในธุรกิจเดียวกัน</t>
        </r>
      </text>
    </comment>
    <comment ref="B24" authorId="1">
      <text>
        <r>
          <rPr>
            <b/>
            <sz val="9"/>
            <color indexed="81"/>
            <rFont val="Tahoma"/>
            <family val="2"/>
          </rPr>
          <t>ระยะเวลาเรียกเก็บหนี้</t>
        </r>
        <r>
          <rPr>
            <sz val="9"/>
            <color indexed="81"/>
            <rFont val="Tahoma"/>
            <family val="2"/>
          </rPr>
          <t xml:space="preserve">
เป็นตัวบอกจำนวนวันฌฉลี่ยที่ได้รับเงินจากลูกค้า หลังจากขายสินค้าแล้ว
หรือความเร็วในการชำระหนี้ของลูกค้า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ควรลดลง หรือคงที่ ยิ่งน้อยยิ่งดี</t>
        </r>
      </text>
    </comment>
    <comment ref="B25" authorId="1">
      <text>
        <r>
          <rPr>
            <b/>
            <sz val="9"/>
            <color indexed="81"/>
            <rFont val="Tahoma"/>
            <family val="2"/>
          </rPr>
          <t>ระยะเวลาในการชำระหนี้เจ้าหนี้การค้า</t>
        </r>
        <r>
          <rPr>
            <sz val="9"/>
            <color indexed="81"/>
            <rFont val="Tahoma"/>
            <family val="2"/>
          </rPr>
          <t xml:space="preserve">
บริษัทที่มีค่านี้สูงจะทำให้เงินสดหมุนเวียนเพิ่มขึ้น แต่เจ้าหนี้จะไม่พอใจถ้านานเกินไป</t>
        </r>
      </text>
    </comment>
    <comment ref="B26" authorId="1">
      <text>
        <r>
          <rPr>
            <b/>
            <sz val="9"/>
            <color indexed="81"/>
            <rFont val="Tahoma"/>
            <family val="2"/>
          </rPr>
          <t>อัตรส่วนหมุนเวียนสินค้าคงคลัง</t>
        </r>
        <r>
          <rPr>
            <sz val="9"/>
            <color indexed="81"/>
            <rFont val="Tahoma"/>
            <family val="2"/>
          </rPr>
          <t xml:space="preserve">
แสดงให้เห็นถึงจำนวนการขายสินค้า และการเติมวัตถุดิบในคลังสินค้า
เพื่อทดแทนสินค้าที่ขายไป และวัตถุดิบที่ใช้ไปในการผลิตสินค้า
</t>
        </r>
        <r>
          <rPr>
            <i/>
            <sz val="9"/>
            <color indexed="81"/>
            <rFont val="Tahoma"/>
            <family val="2"/>
          </rPr>
          <t>ความหมาย</t>
        </r>
        <r>
          <rPr>
            <sz val="9"/>
            <color indexed="81"/>
            <rFont val="Tahoma"/>
            <family val="2"/>
          </rPr>
          <t xml:space="preserve">
ตัวเลขยิ่งมากแสดงว่าจำนวนวันที่สินค้าหรือวัตถุดิบอยู่ในคลังสินค้าน้อยลง
ซึ่งแปลว่าบริษัทมีการจัดการสินค้าที่ดีขึ้น ผลที่ตามมาคือบริษัทจะมีเงินสดหมุนเวียนมาขึ้น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เพิ่มขึ้นหรือคงที่ ยิ่งมากยิ่งดี</t>
        </r>
      </text>
    </comment>
    <comment ref="B27" authorId="1">
      <text>
        <r>
          <rPr>
            <b/>
            <sz val="9"/>
            <color indexed="81"/>
            <rFont val="Tahoma"/>
            <family val="2"/>
          </rPr>
          <t>จำนวนวันของสินค้าคงคลัง</t>
        </r>
        <r>
          <rPr>
            <sz val="9"/>
            <color indexed="81"/>
            <rFont val="Tahoma"/>
            <family val="2"/>
          </rPr>
          <t xml:space="preserve">
บอกถึงจำนวนวันที่สินค้าหรือวัตถุดิบอยู่ในคลังสินค้าน้อยลง
ซึ่งแปลว่าบริษัทมีการจัดการสินค้าที่ดีขึ้น
ผลที่ตามมาคือบริษัทจะมีเงินสดหมุนเวียนมากขึ้น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ควรลดลง หรือคงที่ ยิ่งน้อยยิ่งดี</t>
        </r>
      </text>
    </comment>
    <comment ref="B28" authorId="1">
      <text>
        <r>
          <rPr>
            <b/>
            <sz val="9"/>
            <color indexed="81"/>
            <rFont val="Tahoma"/>
            <family val="2"/>
          </rPr>
          <t>วงจรการหมุนเวียนเงินสด</t>
        </r>
        <r>
          <rPr>
            <sz val="9"/>
            <color indexed="81"/>
            <rFont val="Tahoma"/>
            <family val="2"/>
          </rPr>
          <t xml:space="preserve">
เป็นตัวเลขที่บอกว่าเงินสดจะกลับมาหาบริษัทได้เร็วแค่ไหน
ตั้งแต่เริ่มสั่งวัตถุดิบถึงรับเงินจากลูกค้า
</t>
        </r>
      </text>
    </comment>
    <comment ref="B29" authorId="0">
      <text>
        <r>
          <rPr>
            <b/>
            <sz val="9"/>
            <color indexed="81"/>
            <rFont val="Tahoma"/>
            <family val="2"/>
          </rPr>
          <t>Fookmi:</t>
        </r>
        <r>
          <rPr>
            <sz val="9"/>
            <color indexed="81"/>
            <rFont val="Tahoma"/>
            <family val="2"/>
          </rPr>
          <t xml:space="preserve">
Revise me</t>
        </r>
      </text>
    </comment>
    <comment ref="B33" authorId="1">
      <text>
        <r>
          <rPr>
            <b/>
            <sz val="9"/>
            <color indexed="81"/>
            <rFont val="Tahoma"/>
            <family val="2"/>
          </rPr>
          <t>อัตราส่วนหนี้สินต่อส่วนผู้ถือหุ้น</t>
        </r>
        <r>
          <rPr>
            <sz val="9"/>
            <color indexed="81"/>
            <rFont val="Tahoma"/>
            <family val="2"/>
          </rPr>
          <t xml:space="preserve">
เป็นตัวบอกว่าบริษัทใช้หนี้สิน หรือเงินทุนในการดำเนินธุรกิจ
</t>
        </r>
        <r>
          <rPr>
            <i/>
            <sz val="9"/>
            <color indexed="81"/>
            <rFont val="Tahoma"/>
            <family val="2"/>
          </rPr>
          <t>วิธีการใช้งาน</t>
        </r>
        <r>
          <rPr>
            <sz val="9"/>
            <color indexed="81"/>
            <rFont val="Tahoma"/>
            <family val="2"/>
          </rPr>
          <t xml:space="preserve">
ดูแนวโน้ม ควรลดลง หรือคงที่</t>
        </r>
      </text>
    </comment>
    <comment ref="B34" authorId="1">
      <text>
        <r>
          <rPr>
            <b/>
            <sz val="9"/>
            <color indexed="81"/>
            <rFont val="Tahoma"/>
            <family val="2"/>
          </rPr>
          <t>อัตราส่วนหนี้สินระยะยาวต่อส่วนผู้ถือหุ้น</t>
        </r>
        <r>
          <rPr>
            <sz val="9"/>
            <color indexed="81"/>
            <rFont val="Tahoma"/>
            <family val="2"/>
          </rPr>
          <t xml:space="preserve">
เป็นตัวบอกว่าบริษัทใช้หนี้สิน หรือเงินทุนในการดำเนินธุรกิจ
</t>
        </r>
        <r>
          <rPr>
            <i/>
            <sz val="9"/>
            <color indexed="81"/>
            <rFont val="Tahoma"/>
            <family val="2"/>
          </rPr>
          <t>วิธีการใช้งาน</t>
        </r>
        <r>
          <rPr>
            <sz val="9"/>
            <color indexed="81"/>
            <rFont val="Tahoma"/>
            <family val="2"/>
          </rPr>
          <t xml:space="preserve">
ดูแนวโน้ม ควรลดลง หรือคงที่</t>
        </r>
      </text>
    </comment>
    <comment ref="B35" authorId="1">
      <text>
        <r>
          <rPr>
            <b/>
            <sz val="9"/>
            <color indexed="81"/>
            <rFont val="Tahoma"/>
            <family val="2"/>
          </rPr>
          <t>ความสามารถในการชำระหนี้ระยะยาว</t>
        </r>
        <r>
          <rPr>
            <sz val="9"/>
            <color indexed="81"/>
            <rFont val="Tahoma"/>
            <family val="2"/>
          </rPr>
          <t xml:space="preserve">
ตัวเลขที่ได้คือระยะเวลาในการชำระหนี้ระยะยาวของบริษัท
บริษัทที่ดีควรนำกำไรสุทธิมาใช้หนี้ได้หมดภายในเวลา 4-5 ปี</t>
        </r>
      </text>
    </comment>
    <comment ref="B36" authorId="0">
      <text>
        <r>
          <rPr>
            <b/>
            <sz val="9"/>
            <color indexed="81"/>
            <rFont val="Tahoma"/>
            <family val="2"/>
          </rPr>
          <t>ความสามารถในการจ่ายดอกเบี้ย</t>
        </r>
        <r>
          <rPr>
            <sz val="9"/>
            <color indexed="81"/>
            <rFont val="Tahoma"/>
            <family val="2"/>
          </rPr>
          <t xml:space="preserve">
บริษัที่ดีควรมีค่านี้สูง
ถ้าใกล้ หรือน้อยกว่า 1 แสดงว่าบริษัทอาจมีปัญหาในการจ่ายดอกเบี้ยได้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เพิ่มขึ้นหรือคงที่ ยิ่งมากยิ่งดี</t>
        </r>
      </text>
    </comment>
    <comment ref="B39" authorId="1">
      <text>
        <r>
          <rPr>
            <b/>
            <sz val="9"/>
            <color indexed="81"/>
            <rFont val="Tahoma"/>
            <family val="2"/>
          </rPr>
          <t>ผลตอบแทนต่อทรัพย์สิน</t>
        </r>
        <r>
          <rPr>
            <sz val="9"/>
            <color indexed="81"/>
            <rFont val="Tahoma"/>
            <family val="2"/>
          </rPr>
          <t xml:space="preserve">
บอกให้รู้ถึงผลตอบแทนที่ได้รับจากทรัพย์สินของบริษัท
บอกได้ว่าบริษัทใช้ทรัพย์สินในการสร้างกำไรได้อย่างมีประสิทธิภาพเพียงใด
แต่ละประเภทธุรกิจจะมีค่าแตกต่างกัน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โดยทั่วไปแล้วยิ่งมากยิ่งดี แต่ถ้าเป็นกิจการขนาดใหญ่จะมีค่าไม่สูงมาก</t>
        </r>
      </text>
    </comment>
    <comment ref="B40" authorId="1">
      <text>
        <r>
          <rPr>
            <b/>
            <sz val="9"/>
            <color indexed="81"/>
            <rFont val="Tahoma"/>
            <family val="2"/>
          </rPr>
          <t>ผลตอบแทนส่วนของผู้ถือหุ้น</t>
        </r>
        <r>
          <rPr>
            <sz val="9"/>
            <color indexed="81"/>
            <rFont val="Tahoma"/>
            <family val="2"/>
          </rPr>
          <t xml:space="preserve">
บอกให้รู้ถึงผลตอบแทนที่ได้รับจากเงินลงทุนที่เราลงไป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ยิ่งมากยิ่งดี</t>
        </r>
      </text>
    </comment>
    <comment ref="B41" authorId="2">
      <text>
        <r>
          <rPr>
            <b/>
            <sz val="8"/>
            <color indexed="81"/>
            <rFont val="Tahoma"/>
            <family val="2"/>
          </rPr>
          <t xml:space="preserve">ภาระจากภาษี
</t>
        </r>
        <r>
          <rPr>
            <sz val="8"/>
            <color indexed="81"/>
            <rFont val="Tahoma"/>
            <family val="2"/>
          </rPr>
          <t>ยิ่งมากกิจการมีภาระจากภาษียิ่งน้อย (ยิ่งมากยิ่งดี)</t>
        </r>
      </text>
    </comment>
    <comment ref="B42" authorId="2">
      <text>
        <r>
          <rPr>
            <b/>
            <sz val="8"/>
            <color indexed="81"/>
            <rFont val="Tahoma"/>
            <family val="2"/>
          </rPr>
          <t xml:space="preserve">ภาระจากดอกเบี้ย
</t>
        </r>
        <r>
          <rPr>
            <sz val="8"/>
            <color indexed="81"/>
            <rFont val="Tahoma"/>
            <family val="2"/>
          </rPr>
          <t>ยิ่งมากกิจการมีภาระจากดอกเบี้ยยิ่งน้อย (ยิ่งมากยิ่งดี)
กิจการที่มีหนี้เยอะจะมีค่าต่ำ (ภาระดอกเบี้ยมาก)</t>
        </r>
      </text>
    </comment>
    <comment ref="B43" authorId="2">
      <text>
        <r>
          <rPr>
            <b/>
            <sz val="8"/>
            <color indexed="81"/>
            <rFont val="Tahoma"/>
            <family val="2"/>
          </rPr>
          <t>อัตรากำไรจากการดำเนินงาน</t>
        </r>
        <r>
          <rPr>
            <sz val="8"/>
            <color indexed="81"/>
            <rFont val="Tahoma"/>
            <family val="2"/>
          </rPr>
          <t xml:space="preserve">
ยิ่งมากยิ่งดี ความเสี่ยงจากการนำเนินงานยิ่งน้อย</t>
        </r>
      </text>
    </comment>
    <comment ref="B44" authorId="1">
      <text>
        <r>
          <rPr>
            <b/>
            <sz val="9"/>
            <color indexed="81"/>
            <rFont val="Tahoma"/>
            <family val="2"/>
          </rPr>
          <t>อัตรการหมุนเวียนสินทรัพย์</t>
        </r>
        <r>
          <rPr>
            <sz val="9"/>
            <color indexed="81"/>
            <rFont val="Tahoma"/>
            <family val="2"/>
          </rPr>
          <t xml:space="preserve">
บอกถึงประสิทธภาพในการใช้ทรัพย์สินในการสร้างรายได้
</t>
        </r>
        <r>
          <rPr>
            <i/>
            <sz val="9"/>
            <color indexed="81"/>
            <rFont val="Tahoma"/>
            <family val="2"/>
          </rPr>
          <t>วิธีใช้งาน</t>
        </r>
        <r>
          <rPr>
            <sz val="9"/>
            <color indexed="81"/>
            <rFont val="Tahoma"/>
            <family val="2"/>
          </rPr>
          <t xml:space="preserve">
ดูแนวโน้ม เพิ่มขึ้นหรือคงที่ ยิ่งมากยิ่งดี
ใช้เปรียบเที่กับบริษัทอื่นที่อยู่ในธุรกิจเดียวกัน</t>
        </r>
      </text>
    </comment>
    <comment ref="B45" authorId="2">
      <text>
        <r>
          <rPr>
            <b/>
            <sz val="8"/>
            <color indexed="81"/>
            <rFont val="Tahoma"/>
            <family val="2"/>
          </rPr>
          <t xml:space="preserve">อัตราส่วนการใช้หนี้
</t>
        </r>
        <r>
          <rPr>
            <sz val="8"/>
            <color indexed="81"/>
            <rFont val="Tahoma"/>
            <family val="2"/>
          </rPr>
          <t>ยิ่งมาก บริษัทใช้หนี้เยอะ ความเสี่ยงทากการเงินสูง
บริษัทโดยทั่วไปไม่ควรเกิน 2
ข้อยกเว้น เช่น ธนาคาร</t>
        </r>
      </text>
    </comment>
  </commentList>
</comments>
</file>

<file path=xl/sharedStrings.xml><?xml version="1.0" encoding="utf-8"?>
<sst xmlns="http://schemas.openxmlformats.org/spreadsheetml/2006/main" count="100" uniqueCount="94">
  <si>
    <t>CASH AND CASH EQUIVALENTS</t>
  </si>
  <si>
    <t>TRADE ACCOUNTS AND NOTES RECEIVABLE - NET</t>
  </si>
  <si>
    <t>INVENTORIES</t>
  </si>
  <si>
    <t>TOTAL CURRENT ASSETS</t>
  </si>
  <si>
    <t>TOTAL ASSETS</t>
  </si>
  <si>
    <t>TRADE ACCOUNTS AND NOTES PAYABLE - NET</t>
  </si>
  <si>
    <t>CURRENT PORTION OF LONG-TERM LIABILITIES</t>
  </si>
  <si>
    <t>TOTAL CURRENT LIABILITIES</t>
  </si>
  <si>
    <t>TOTAL NON-CURRENT LIABILITIES</t>
  </si>
  <si>
    <t>TOTAL LIABILITIES</t>
  </si>
  <si>
    <t>ISSUED AND FULLY PAID-UP SHARE CAPITAL</t>
  </si>
  <si>
    <t>RETAINED EARNINGS (DEFICIT)</t>
  </si>
  <si>
    <t>TOTAL EQUITY</t>
  </si>
  <si>
    <t>REVENUES FROM SALE OF GOODS AND RENDERING OF SERVICES</t>
  </si>
  <si>
    <t>OTHER INCOME</t>
  </si>
  <si>
    <t>TOTAL REVENUES</t>
  </si>
  <si>
    <t>COST OF SALE OF GOODS AND RENDERING OF SERVICES</t>
  </si>
  <si>
    <t>SELLING AND ADMINISTRATIVE EXPENSES</t>
  </si>
  <si>
    <t>OTHER EXPENSES</t>
  </si>
  <si>
    <t>MANAGEMENT AND DIRECTORS` REMUNERATION</t>
  </si>
  <si>
    <t>INCOME TAX EXPENSES</t>
  </si>
  <si>
    <t>NET PROFIT (LOSS)</t>
  </si>
  <si>
    <t>PROFIT (LOSS) ATTRIBUTABLE TO EQUITY HOLDERS OF THE PARENT</t>
  </si>
  <si>
    <t>BASIC EARNINGS PER SHARE</t>
  </si>
  <si>
    <t>DILUTED EARNINGS PER SHARE</t>
  </si>
  <si>
    <t>DEPRECIATION AND AMORTISATION</t>
  </si>
  <si>
    <t>(INCREASE) DECREASE IN TRADE ACCOUNT AND NOTE RECEIVABLES - OTHERS</t>
  </si>
  <si>
    <t>INCREASE (DECREASE) IN TRADE ACCOUNT AND NOTE PAYABLES - OTHERS</t>
  </si>
  <si>
    <t>(INCREASE) DECREASE IN PROPERTY, PLANT AND EQUIPMENT</t>
  </si>
  <si>
    <t>TREASURY STOCK/ SHARES OF THE COMPANY AS HELD BY A SUBSIDIARY</t>
  </si>
  <si>
    <t>Balance Sheet</t>
  </si>
  <si>
    <t>Income Statement</t>
  </si>
  <si>
    <t>Cash Flow</t>
  </si>
  <si>
    <t>Asset</t>
  </si>
  <si>
    <t>Liabilities</t>
  </si>
  <si>
    <t>Equity</t>
  </si>
  <si>
    <t>Cash Flow Statement</t>
  </si>
  <si>
    <t>Gross profit margin</t>
  </si>
  <si>
    <t>Net profit margin</t>
  </si>
  <si>
    <t>Return on Assets (ROA)</t>
  </si>
  <si>
    <t>Return on Equity (ROE)</t>
  </si>
  <si>
    <t>Net Gearing</t>
  </si>
  <si>
    <t>Liquidity Ratios</t>
  </si>
  <si>
    <t>Profitability Ratios</t>
  </si>
  <si>
    <t>Current ratio</t>
  </si>
  <si>
    <t>Efficiency Ratios</t>
  </si>
  <si>
    <t>Degree of Operating Leverage</t>
  </si>
  <si>
    <t>Asset turnover</t>
  </si>
  <si>
    <t>Inventory conversion period</t>
  </si>
  <si>
    <t>Receivables conversion period</t>
  </si>
  <si>
    <t>Payables conversion period</t>
  </si>
  <si>
    <t>Cash Conversion Cycle</t>
  </si>
  <si>
    <t>Debt Ratios</t>
  </si>
  <si>
    <t>Debt ratio</t>
  </si>
  <si>
    <t>Debt to Equity ratio</t>
  </si>
  <si>
    <t>Long-term Debt to equity</t>
  </si>
  <si>
    <t>Market Ratios</t>
  </si>
  <si>
    <t>Earnings per share</t>
  </si>
  <si>
    <t>Payout ratio</t>
  </si>
  <si>
    <t>Dividend cover</t>
  </si>
  <si>
    <t>P/E Ratio</t>
  </si>
  <si>
    <t>Dividend yield</t>
  </si>
  <si>
    <t>Cashflow ratio</t>
  </si>
  <si>
    <t>Price to Book Value</t>
  </si>
  <si>
    <t>Price/sales ratio</t>
  </si>
  <si>
    <t>PEG ratio</t>
  </si>
  <si>
    <t>EV/EBITDA</t>
  </si>
  <si>
    <t>EV/Sales</t>
  </si>
  <si>
    <t>Cost/Income ratio</t>
  </si>
  <si>
    <t>Inventory turnover ratio</t>
  </si>
  <si>
    <t>Growth</t>
  </si>
  <si>
    <t>EBIT</t>
  </si>
  <si>
    <t>Revenue</t>
  </si>
  <si>
    <t>Net Profit</t>
  </si>
  <si>
    <t>Tax Rate</t>
  </si>
  <si>
    <t>Gross profit</t>
  </si>
  <si>
    <t>SGA / Gross profit</t>
  </si>
  <si>
    <t>Depreciation / Gross Profit</t>
  </si>
  <si>
    <t>R&amp;D / Gross profit</t>
  </si>
  <si>
    <t>Interest expense / EBIT</t>
  </si>
  <si>
    <t>Interest Coverage Ratio</t>
  </si>
  <si>
    <t>Long-term Debt to Net Profit</t>
  </si>
  <si>
    <t>Sales per day</t>
  </si>
  <si>
    <t>Property, Plant &amp; Equipment turnover</t>
  </si>
  <si>
    <t>Acid-test ratio (Quick ratio)</t>
  </si>
  <si>
    <t>Operating profit margin</t>
  </si>
  <si>
    <t>Dupont Analysis</t>
  </si>
  <si>
    <t>Tax Burden</t>
  </si>
  <si>
    <t>Interest Burden</t>
  </si>
  <si>
    <t>Operating Income Margin</t>
  </si>
  <si>
    <t>Leverage Ratio</t>
  </si>
  <si>
    <t>PROPERTY, PLANT AND EQUIPMENTS - NET</t>
  </si>
  <si>
    <t>PROFIT (LOSS) BEFORE FINANCE COSTS AND INCOME TAX EXPENSES</t>
  </si>
  <si>
    <t>FINANCE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</si>
</sst>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Calibri"/>
      <family val="2"/>
      <charset val="22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2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u/>
      <sz val="9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B7DEFF"/>
        <bgColor indexed="64"/>
      </patternFill>
    </fill>
    <fill>
      <patternFill patternType="solid">
        <fgColor rgb="FFE6F4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0" borderId="0" xfId="0" applyAlignment="1"/>
    <xf numFmtId="0" fontId="3" fillId="2" borderId="0" xfId="0" applyFont="1" applyFill="1"/>
    <xf numFmtId="0" fontId="0" fillId="2" borderId="0" xfId="0" applyFill="1"/>
    <xf numFmtId="0" fontId="0" fillId="3" borderId="0" xfId="0" applyFill="1"/>
    <xf numFmtId="10" fontId="0" fillId="0" borderId="0" xfId="0" applyNumberFormat="1"/>
    <xf numFmtId="2" fontId="0" fillId="0" borderId="0" xfId="0" applyNumberFormat="1"/>
    <xf numFmtId="0" fontId="0" fillId="0" borderId="0" xfId="0" applyAlignment="1"/>
    <xf numFmtId="0" fontId="0" fillId="0" borderId="0" xfId="0"/>
  </cellXfs>
  <cellStyles count="1">
    <cellStyle name="Normal" xfId="0" builtinId="0"/>
  </cellStyles>
  <dxfs count="3">
    <dxf>
      <fill>
        <patternFill>
          <bgColor rgb="FFB7DEFF"/>
        </patternFill>
      </fill>
    </dxf>
    <dxf>
      <font>
        <b/>
        <i val="0"/>
      </font>
    </dxf>
    <dxf>
      <fill>
        <patternFill>
          <bgColor rgb="FFE6F4FF"/>
        </patternFill>
      </fill>
    </dxf>
  </dxfs>
  <tableStyles count="0" defaultTableStyle="TableStyleMedium2" defaultPivotStyle="PivotStyleLight16"/>
  <colors>
    <mruColors>
      <color rgb="FFE6F4FF"/>
      <color rgb="FFB7DE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3</xdr:row>
          <xdr:rowOff>9525</xdr:rowOff>
        </xdr:from>
        <xdr:to>
          <xdr:col>11</xdr:col>
          <xdr:colOff>295275</xdr:colOff>
          <xdr:row>4</xdr:row>
          <xdr:rowOff>95250</xdr:rowOff>
        </xdr:to>
        <xdr:sp macro="" textlink="">
          <xdr:nvSpPr>
            <xdr:cNvPr id="7169" name="btnMergeBalanceSheet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Balance Sheet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5</xdr:row>
          <xdr:rowOff>0</xdr:rowOff>
        </xdr:from>
        <xdr:to>
          <xdr:col>11</xdr:col>
          <xdr:colOff>276225</xdr:colOff>
          <xdr:row>6</xdr:row>
          <xdr:rowOff>85725</xdr:rowOff>
        </xdr:to>
        <xdr:sp macro="" textlink="">
          <xdr:nvSpPr>
            <xdr:cNvPr id="7170" name="btnMergeIncome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Income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7</xdr:row>
          <xdr:rowOff>0</xdr:rowOff>
        </xdr:from>
        <xdr:to>
          <xdr:col>11</xdr:col>
          <xdr:colOff>276225</xdr:colOff>
          <xdr:row>8</xdr:row>
          <xdr:rowOff>85725</xdr:rowOff>
        </xdr:to>
        <xdr:sp macro="" textlink="">
          <xdr:nvSpPr>
            <xdr:cNvPr id="7171" name="btnMergeCashFlow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Cash Flow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9</xdr:row>
          <xdr:rowOff>0</xdr:rowOff>
        </xdr:from>
        <xdr:to>
          <xdr:col>11</xdr:col>
          <xdr:colOff>276225</xdr:colOff>
          <xdr:row>10</xdr:row>
          <xdr:rowOff>85725</xdr:rowOff>
        </xdr:to>
        <xdr:sp macro="" textlink="">
          <xdr:nvSpPr>
            <xdr:cNvPr id="7172" name="btnGenerateData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Data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NewData"/>
  <dimension ref="C1:H1"/>
  <sheetViews>
    <sheetView workbookViewId="0"/>
  </sheetViews>
  <sheetFormatPr defaultRowHeight="15" customHeight="1"/>
  <cols>
    <col min="1" max="2" width="9.140625" style="2"/>
    <col min="3" max="8" width="9.140625" style="8"/>
    <col min="9" max="16384" width="9.140625" style="2"/>
  </cols>
  <sheetData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tnMergeBalanceSheet">
              <controlPr defaultSize="0" print="0" autoFill="0" autoPict="0" macro="[0]!NewData.MergeBalanceSheet">
                <anchor>
                  <from>
                    <xdr:col>9</xdr:col>
                    <xdr:colOff>19050</xdr:colOff>
                    <xdr:row>3</xdr:row>
                    <xdr:rowOff>9525</xdr:rowOff>
                  </from>
                  <to>
                    <xdr:col>11</xdr:col>
                    <xdr:colOff>295275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tnMergeIncome">
              <controlPr defaultSize="0" print="0" autoFill="0" autoPict="0" macro="[0]!NewData.MergeIncomeStatement">
                <anchor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276225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tnMergeCashFlow">
              <controlPr defaultSize="0" print="0" autoFill="0" autoPict="0" macro="[0]!NewData.MergeCashFlowStatement">
                <anchor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11</xdr:col>
                    <xdr:colOff>276225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tnGenerateData">
              <controlPr defaultSize="0" print="0" autoFill="0" autoPict="0" macro="[0]!NewData.GenerateFinancialData">
                <anchor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11</xdr:col>
                    <xdr:colOff>276225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inancialHighlight"/>
  <dimension ref="A1:B43"/>
  <sheetViews>
    <sheetView topLeftCell="B1" zoomScaleNormal="100" workbookViewId="0">
      <selection activeCell="B1" sqref="B1"/>
    </sheetView>
  </sheetViews>
  <sheetFormatPr defaultRowHeight="15"/>
  <cols>
    <col min="1" max="1" width="9.140625" hidden="1" customWidth="1"/>
    <col min="2" max="2" width="40.140625" customWidth="1"/>
  </cols>
  <sheetData>
    <row r="1" spans="2:2">
      <c r="B1" s="3"/>
    </row>
    <row r="2" spans="2:2">
      <c r="B2" s="5" t="s">
        <v>30</v>
      </c>
    </row>
    <row r="3" spans="2:2">
      <c r="B3" s="4" t="s">
        <v>33</v>
      </c>
    </row>
    <row r="4" spans="2:2">
      <c r="B4" t="s">
        <v>0</v>
      </c>
    </row>
    <row r="5" spans="2:2">
      <c r="B5" t="s">
        <v>1</v>
      </c>
    </row>
    <row r="6" spans="2:2">
      <c r="B6" t="s">
        <v>2</v>
      </c>
    </row>
    <row r="7" spans="2:2">
      <c r="B7" t="s">
        <v>3</v>
      </c>
    </row>
    <row r="8" spans="2:2">
      <c r="B8" t="s">
        <v>91</v>
      </c>
    </row>
    <row r="9" spans="2:2">
      <c r="B9" t="s">
        <v>4</v>
      </c>
    </row>
    <row r="10" spans="2:2">
      <c r="B10" s="4" t="s">
        <v>34</v>
      </c>
    </row>
    <row r="11" spans="2:2">
      <c r="B11" t="s">
        <v>5</v>
      </c>
    </row>
    <row r="12" spans="2:2">
      <c r="B12" t="s">
        <v>6</v>
      </c>
    </row>
    <row r="13" spans="2:2">
      <c r="B13" t="s">
        <v>7</v>
      </c>
    </row>
    <row r="14" spans="2:2">
      <c r="B14" t="s">
        <v>8</v>
      </c>
    </row>
    <row r="15" spans="2:2">
      <c r="B15" t="s">
        <v>9</v>
      </c>
    </row>
    <row r="16" spans="2:2">
      <c r="B16" s="4" t="s">
        <v>35</v>
      </c>
    </row>
    <row r="17" spans="2:2">
      <c r="B17" t="s">
        <v>10</v>
      </c>
    </row>
    <row r="18" spans="2:2">
      <c r="B18" t="s">
        <v>11</v>
      </c>
    </row>
    <row r="19" spans="2:2">
      <c r="B19" t="s">
        <v>29</v>
      </c>
    </row>
    <row r="20" spans="2:2">
      <c r="B20" t="s">
        <v>12</v>
      </c>
    </row>
    <row r="22" spans="2:2">
      <c r="B22" s="5" t="s">
        <v>31</v>
      </c>
    </row>
    <row r="23" spans="2:2">
      <c r="B23" t="s">
        <v>13</v>
      </c>
    </row>
    <row r="24" spans="2:2">
      <c r="B24" t="s">
        <v>14</v>
      </c>
    </row>
    <row r="25" spans="2:2">
      <c r="B25" t="s">
        <v>15</v>
      </c>
    </row>
    <row r="26" spans="2:2">
      <c r="B26" t="s">
        <v>16</v>
      </c>
    </row>
    <row r="27" spans="2:2">
      <c r="B27" t="s">
        <v>17</v>
      </c>
    </row>
    <row r="28" spans="2:2">
      <c r="B28" t="s">
        <v>18</v>
      </c>
    </row>
    <row r="29" spans="2:2">
      <c r="B29" t="s">
        <v>19</v>
      </c>
    </row>
    <row r="30" spans="2:2">
      <c r="B30" t="s">
        <v>92</v>
      </c>
    </row>
    <row r="31" spans="2:2">
      <c r="B31" t="s">
        <v>93</v>
      </c>
    </row>
    <row r="32" spans="2:2">
      <c r="B32" t="s">
        <v>20</v>
      </c>
    </row>
    <row r="33" spans="2:2">
      <c r="B33" t="s">
        <v>21</v>
      </c>
    </row>
    <row r="34" spans="2:2">
      <c r="B34" t="s">
        <v>22</v>
      </c>
    </row>
    <row r="35" spans="2:2">
      <c r="B35" t="s">
        <v>23</v>
      </c>
    </row>
    <row r="36" spans="2:2">
      <c r="B36" t="s">
        <v>24</v>
      </c>
    </row>
    <row r="38" spans="2:2">
      <c r="B38" s="5" t="s">
        <v>36</v>
      </c>
    </row>
    <row r="39" spans="2:2">
      <c r="B39" t="s">
        <v>25</v>
      </c>
    </row>
    <row r="40" spans="2:2">
      <c r="B40" t="s">
        <v>26</v>
      </c>
    </row>
    <row r="41" spans="2:2">
      <c r="B41" t="s">
        <v>27</v>
      </c>
    </row>
    <row r="42" spans="2:2">
      <c r="B42" t="s">
        <v>28</v>
      </c>
    </row>
    <row r="43" spans="2:2">
      <c r="B43" t="s">
        <v>28</v>
      </c>
    </row>
  </sheetData>
  <pageMargins left="0.7" right="0.7" top="0.75" bottom="0.75" header="0.3" footer="0.3"/>
  <pageSetup scale="22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nancialRatio"/>
  <dimension ref="A1:B65"/>
  <sheetViews>
    <sheetView topLeftCell="B1" workbookViewId="0">
      <selection activeCell="F24" sqref="F24"/>
    </sheetView>
  </sheetViews>
  <sheetFormatPr defaultRowHeight="15"/>
  <cols>
    <col min="1" max="1" width="6.85546875" style="9" hidden="1" customWidth="1"/>
    <col min="2" max="2" width="35.28515625" bestFit="1" customWidth="1"/>
  </cols>
  <sheetData>
    <row r="1" spans="1:2">
      <c r="A1" s="3">
        <f>'Financial Highlight'!A1</f>
        <v>0</v>
      </c>
      <c r="B1" s="3"/>
    </row>
    <row r="2" spans="1:2">
      <c r="A2" s="5"/>
      <c r="B2" s="5" t="s">
        <v>43</v>
      </c>
    </row>
    <row r="3" spans="1:2" s="9" customFormat="1">
      <c r="A3" s="7">
        <f>('Financial Highlight'!A23-'Financial Highlight'!A26)</f>
        <v>0</v>
      </c>
      <c r="B3" s="9" t="s">
        <v>75</v>
      </c>
    </row>
    <row r="4" spans="1:2">
      <c r="A4" s="6">
        <f>IFERROR(A3/'Financial Highlight'!A23, 0)</f>
        <v>0</v>
      </c>
      <c r="B4" t="s">
        <v>37</v>
      </c>
    </row>
    <row r="5" spans="1:2" s="9" customFormat="1">
      <c r="A5" s="6">
        <f>IFERROR('Financial Highlight'!A27/A3, 0)</f>
        <v>0</v>
      </c>
      <c r="B5" s="6" t="s">
        <v>76</v>
      </c>
    </row>
    <row r="6" spans="1:2" s="9" customFormat="1">
      <c r="A6" s="6"/>
      <c r="B6" s="6" t="s">
        <v>78</v>
      </c>
    </row>
    <row r="7" spans="1:2">
      <c r="A7" s="6">
        <f>IFERROR('Financial Highlight'!A39/A3, 0)</f>
        <v>0</v>
      </c>
      <c r="B7" s="6" t="s">
        <v>77</v>
      </c>
    </row>
    <row r="8" spans="1:2">
      <c r="A8" s="6">
        <f>IFERROR('Financial Highlight'!A30/'Financial Highlight'!A25, 0)</f>
        <v>0</v>
      </c>
      <c r="B8" t="s">
        <v>85</v>
      </c>
    </row>
    <row r="9" spans="1:2" s="9" customFormat="1">
      <c r="A9" s="6">
        <f>IFERROR('Financial Highlight'!A31/'Financial Highlight'!A30, 0)</f>
        <v>0</v>
      </c>
      <c r="B9" s="6" t="s">
        <v>79</v>
      </c>
    </row>
    <row r="10" spans="1:2">
      <c r="A10" s="6">
        <f>IFERROR('Financial Highlight'!A32/('Financial Highlight'!A30-'Financial Highlight'!A31), 0)</f>
        <v>0</v>
      </c>
      <c r="B10" t="s">
        <v>74</v>
      </c>
    </row>
    <row r="11" spans="1:2">
      <c r="A11" s="6">
        <f>IFERROR('Financial Highlight'!A34/'Financial Highlight'!A25, 0)</f>
        <v>0</v>
      </c>
      <c r="B11" t="s">
        <v>38</v>
      </c>
    </row>
    <row r="12" spans="1:2">
      <c r="A12" s="6">
        <f>IFERROR('Financial Highlight'!A33/(('Financial Highlight'!A20+IF(ISBLANK('Financial Highlight'!B20),'Financial Highlight'!A20,'Financial Highlight'!B20))/2), 0)</f>
        <v>0</v>
      </c>
      <c r="B12" t="s">
        <v>40</v>
      </c>
    </row>
    <row r="13" spans="1:2">
      <c r="A13" s="6">
        <f>IFERROR(('Financial Highlight'!A30)/(('Financial Highlight'!A9+IF(ISBLANK('Financial Highlight'!B9),'Financial Highlight'!A9,'Financial Highlight'!B9))/2), 0)</f>
        <v>0</v>
      </c>
      <c r="B13" t="s">
        <v>39</v>
      </c>
    </row>
    <row r="14" spans="1:2">
      <c r="A14" s="7">
        <f>IFERROR('Financial Highlight'!A15/'Financial Highlight'!A20, 0)</f>
        <v>0</v>
      </c>
      <c r="B14" t="s">
        <v>41</v>
      </c>
    </row>
    <row r="16" spans="1:2">
      <c r="A16" s="5"/>
      <c r="B16" s="5" t="s">
        <v>42</v>
      </c>
    </row>
    <row r="17" spans="1:2">
      <c r="A17" s="7">
        <f>IFERROR('Financial Highlight'!A7/'Financial Highlight'!A13, 0)</f>
        <v>0</v>
      </c>
      <c r="B17" t="s">
        <v>44</v>
      </c>
    </row>
    <row r="18" spans="1:2">
      <c r="A18" s="7">
        <f>IFERROR(('Financial Highlight'!A7-'Financial Highlight'!A6)/'Financial Highlight'!A13, 0)</f>
        <v>0</v>
      </c>
      <c r="B18" t="s">
        <v>84</v>
      </c>
    </row>
    <row r="20" spans="1:2">
      <c r="A20" s="5"/>
      <c r="B20" s="5" t="s">
        <v>45</v>
      </c>
    </row>
    <row r="21" spans="1:2">
      <c r="A21" s="7">
        <f>'Financial Highlight'!A23/365</f>
        <v>0</v>
      </c>
      <c r="B21" s="9" t="s">
        <v>82</v>
      </c>
    </row>
    <row r="22" spans="1:2">
      <c r="A22" s="7">
        <f>IFERROR('Financial Highlight'!A25/'Financial Highlight'!A9, 0)</f>
        <v>0</v>
      </c>
      <c r="B22" s="9" t="s">
        <v>47</v>
      </c>
    </row>
    <row r="23" spans="1:2">
      <c r="A23" s="7">
        <f>IFERROR('Financial Highlight'!A25/'Financial Highlight'!A8, 0)</f>
        <v>0</v>
      </c>
      <c r="B23" t="s">
        <v>83</v>
      </c>
    </row>
    <row r="24" spans="1:2">
      <c r="A24" s="7">
        <f>IFERROR(365/('Financial Highlight'!A25/(('Financial Highlight'!A5+IF(ISBLANK('Financial Highlight'!B5),'Financial Highlight'!A5,'Financial Highlight'!B5))/2)), 0)</f>
        <v>0</v>
      </c>
      <c r="B24" t="s">
        <v>49</v>
      </c>
    </row>
    <row r="25" spans="1:2">
      <c r="A25" s="7">
        <f>IFERROR(365/('Financial Highlight'!A26/(('Financial Highlight'!A11+IF(ISBLANK('Financial Highlight'!B11),'Financial Highlight'!A11,'Financial Highlight'!B11))/2)), 0)</f>
        <v>0</v>
      </c>
      <c r="B25" t="s">
        <v>50</v>
      </c>
    </row>
    <row r="26" spans="1:2">
      <c r="A26" s="7">
        <f>IFERROR('Financial Highlight'!A26/(('Financial Highlight'!A6+IF(ISBLANK('Financial Highlight'!B6),'Financial Highlight'!A6,'Financial Highlight'!B6))/2), 0)</f>
        <v>0</v>
      </c>
      <c r="B26" t="s">
        <v>69</v>
      </c>
    </row>
    <row r="27" spans="1:2">
      <c r="A27" s="7">
        <f>IFERROR(365/A26, 0)</f>
        <v>0</v>
      </c>
      <c r="B27" t="s">
        <v>48</v>
      </c>
    </row>
    <row r="28" spans="1:2">
      <c r="A28" s="7">
        <f>A27+A24-A25</f>
        <v>0</v>
      </c>
      <c r="B28" t="s">
        <v>51</v>
      </c>
    </row>
    <row r="29" spans="1:2">
      <c r="A29" s="7">
        <f>IFERROR(A64/A63, 0)</f>
        <v>0</v>
      </c>
      <c r="B29" t="s">
        <v>46</v>
      </c>
    </row>
    <row r="31" spans="1:2">
      <c r="A31" s="5"/>
      <c r="B31" s="5" t="s">
        <v>52</v>
      </c>
    </row>
    <row r="32" spans="1:2">
      <c r="A32" s="6">
        <f>IFERROR('Financial Highlight'!A15/'Financial Highlight'!A9, 0)</f>
        <v>0</v>
      </c>
      <c r="B32" t="s">
        <v>53</v>
      </c>
    </row>
    <row r="33" spans="1:2" s="9" customFormat="1">
      <c r="A33" s="7">
        <f>IFERROR('Financial Highlight'!A15/'Financial Highlight'!A20, 0)</f>
        <v>0</v>
      </c>
      <c r="B33" t="s">
        <v>54</v>
      </c>
    </row>
    <row r="34" spans="1:2">
      <c r="A34" s="7">
        <f>IFERROR('Financial Highlight'!A14/'Financial Highlight'!A20, 0)</f>
        <v>0</v>
      </c>
      <c r="B34" t="s">
        <v>55</v>
      </c>
    </row>
    <row r="35" spans="1:2">
      <c r="A35" s="7">
        <f>IFERROR('Financial Highlight'!A14/'Financial Highlight'!A33, 0)</f>
        <v>0</v>
      </c>
      <c r="B35" s="9" t="s">
        <v>81</v>
      </c>
    </row>
    <row r="36" spans="1:2">
      <c r="A36" s="7">
        <f>IFERROR('Financial Highlight'!A30/'Financial Highlight'!A31, 0)</f>
        <v>0</v>
      </c>
      <c r="B36" t="s">
        <v>80</v>
      </c>
    </row>
    <row r="37" spans="1:2" s="9" customFormat="1">
      <c r="A37" s="7"/>
    </row>
    <row r="38" spans="1:2" s="9" customFormat="1">
      <c r="A38" s="5"/>
      <c r="B38" s="5" t="s">
        <v>86</v>
      </c>
    </row>
    <row r="39" spans="1:2" s="9" customFormat="1">
      <c r="A39" s="6">
        <f>IFERROR('Financial Highlight'!A33/'Financial Highlight'!A9,0)</f>
        <v>0</v>
      </c>
      <c r="B39" s="9" t="s">
        <v>39</v>
      </c>
    </row>
    <row r="40" spans="1:2" s="9" customFormat="1">
      <c r="A40" s="6">
        <f>IFERROR('Financial Highlight'!A34/'Financial Highlight'!A10,0)</f>
        <v>0</v>
      </c>
      <c r="B40" s="9" t="s">
        <v>40</v>
      </c>
    </row>
    <row r="41" spans="1:2" s="9" customFormat="1">
      <c r="A41" s="6">
        <f>IFERROR('Financial Highlight'!A33/('Financial Highlight'!A30-'Financial Highlight'!A31), 0)</f>
        <v>0</v>
      </c>
      <c r="B41" s="9" t="s">
        <v>87</v>
      </c>
    </row>
    <row r="42" spans="1:2" s="9" customFormat="1">
      <c r="A42" s="6">
        <f>IFERROR(('Financial Highlight'!A30-'Financial Highlight'!A31)/'Financial Highlight'!A30, 0)</f>
        <v>0</v>
      </c>
      <c r="B42" s="9" t="s">
        <v>88</v>
      </c>
    </row>
    <row r="43" spans="1:2" s="9" customFormat="1">
      <c r="A43" s="6">
        <f>IFERROR('Financial Highlight'!A30/'Financial Highlight'!A25, 0)</f>
        <v>0</v>
      </c>
      <c r="B43" s="9" t="s">
        <v>89</v>
      </c>
    </row>
    <row r="44" spans="1:2" s="9" customFormat="1">
      <c r="A44" s="7">
        <f>IFERROR('Financial Highlight'!A25/'Financial Highlight'!A9, 0)</f>
        <v>0</v>
      </c>
      <c r="B44" s="9" t="s">
        <v>47</v>
      </c>
    </row>
    <row r="45" spans="1:2" s="9" customFormat="1">
      <c r="A45" s="7">
        <f>IFERROR('Financial Highlight'!A9/'Financial Highlight'!A20, 0)</f>
        <v>0</v>
      </c>
      <c r="B45" s="9" t="s">
        <v>90</v>
      </c>
    </row>
    <row r="46" spans="1:2" s="9" customFormat="1">
      <c r="A46" s="7"/>
    </row>
    <row r="48" spans="1:2">
      <c r="A48" s="5"/>
      <c r="B48" s="5" t="s">
        <v>56</v>
      </c>
    </row>
    <row r="49" spans="1:2">
      <c r="B49" t="s">
        <v>57</v>
      </c>
    </row>
    <row r="50" spans="1:2">
      <c r="B50" t="s">
        <v>58</v>
      </c>
    </row>
    <row r="51" spans="1:2">
      <c r="B51" t="s">
        <v>59</v>
      </c>
    </row>
    <row r="52" spans="1:2">
      <c r="B52" t="s">
        <v>60</v>
      </c>
    </row>
    <row r="53" spans="1:2">
      <c r="B53" t="s">
        <v>61</v>
      </c>
    </row>
    <row r="54" spans="1:2">
      <c r="B54" t="s">
        <v>62</v>
      </c>
    </row>
    <row r="55" spans="1:2">
      <c r="B55" t="s">
        <v>63</v>
      </c>
    </row>
    <row r="56" spans="1:2">
      <c r="B56" t="s">
        <v>64</v>
      </c>
    </row>
    <row r="57" spans="1:2">
      <c r="B57" t="s">
        <v>65</v>
      </c>
    </row>
    <row r="58" spans="1:2">
      <c r="B58" t="s">
        <v>66</v>
      </c>
    </row>
    <row r="59" spans="1:2">
      <c r="B59" t="s">
        <v>67</v>
      </c>
    </row>
    <row r="60" spans="1:2">
      <c r="B60" t="s">
        <v>68</v>
      </c>
    </row>
    <row r="62" spans="1:2">
      <c r="A62" s="5"/>
      <c r="B62" s="5" t="s">
        <v>70</v>
      </c>
    </row>
    <row r="63" spans="1:2">
      <c r="A63" s="6">
        <f>IFERROR(('Financial Highlight'!A25-'Financial Highlight'!B25)/'Financial Highlight'!B25, 0)</f>
        <v>0</v>
      </c>
      <c r="B63" t="s">
        <v>72</v>
      </c>
    </row>
    <row r="64" spans="1:2">
      <c r="A64" s="6">
        <f>IFERROR(('Financial Highlight'!A30-'Financial Highlight'!B30)/'Financial Highlight'!B30, 0)</f>
        <v>0</v>
      </c>
      <c r="B64" t="s">
        <v>71</v>
      </c>
    </row>
    <row r="65" spans="1:2">
      <c r="A65" s="6">
        <f>IFERROR(('Financial Highlight'!A33-'Financial Highlight'!B33)/'Financial Highlight'!B33, 0)</f>
        <v>0</v>
      </c>
      <c r="B65" t="s">
        <v>73</v>
      </c>
    </row>
  </sheetData>
  <conditionalFormatting sqref="A17">
    <cfRule type="iconSet" priority="3">
      <iconSet>
        <cfvo type="percent" val="0"/>
        <cfvo type="num" val="0.75"/>
        <cfvo type="num" val="1"/>
      </iconSet>
    </cfRule>
  </conditionalFormatting>
  <conditionalFormatting sqref="A33">
    <cfRule type="iconSet" priority="2">
      <iconSet reverse="1">
        <cfvo type="percent" val="0"/>
        <cfvo type="num" val="0.8"/>
        <cfvo type="num" val="1.5"/>
      </iconSet>
    </cfRule>
  </conditionalFormatting>
  <conditionalFormatting sqref="A18">
    <cfRule type="iconSet" priority="1">
      <iconSet>
        <cfvo type="percent" val="0"/>
        <cfvo type="num" val="0.5"/>
        <cfvo type="num" val="1"/>
      </iconSet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lanceSheet"/>
  <dimension ref="A1"/>
  <sheetViews>
    <sheetView workbookViewId="0"/>
  </sheetViews>
  <sheetFormatPr defaultRowHeight="15"/>
  <cols>
    <col min="1" max="1" width="80.7109375" style="2" customWidth="1"/>
  </cols>
  <sheetData/>
  <dataConsolidate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tatement"/>
  <dimension ref="A1"/>
  <sheetViews>
    <sheetView workbookViewId="0"/>
  </sheetViews>
  <sheetFormatPr defaultRowHeight="15"/>
  <cols>
    <col min="1" max="1" width="80.710937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shFlow"/>
  <dimension ref="A1"/>
  <sheetViews>
    <sheetView workbookViewId="0"/>
  </sheetViews>
  <sheetFormatPr defaultRowHeight="15"/>
  <cols>
    <col min="1" max="1" width="80.7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mp"/>
  <dimension ref="A1"/>
  <sheetViews>
    <sheetView topLeftCell="A2" workbookViewId="0">
      <selection activeCell="A2" sqref="A2"/>
    </sheetView>
  </sheetViews>
  <sheetFormatPr defaultRowHeight="15"/>
  <sheetData>
    <row r="1" hidden="1"/>
  </sheetData>
  <conditionalFormatting sqref="A1">
    <cfRule type="expression" dxfId="2" priority="34">
      <formula>FIND("BAHT",$B1)</formula>
    </cfRule>
    <cfRule type="expression" dxfId="1" priority="35">
      <formula>ISBLANK($A1)</formula>
    </cfRule>
    <cfRule type="expression" dxfId="0" priority="36">
      <formula>OR(ISBLANK($A1),ISBLANK($B1))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mLookup"/>
  <dimension ref="A1:C1"/>
  <sheetViews>
    <sheetView tabSelected="1" workbookViewId="0"/>
  </sheetViews>
  <sheetFormatPr defaultRowHeight="15"/>
  <cols>
    <col min="1" max="3" width="50.7109375" customWidth="1"/>
  </cols>
  <sheetData>
    <row r="1" spans="1:3">
      <c r="A1" s="1" t="s">
        <v>30</v>
      </c>
      <c r="B1" s="1" t="s">
        <v>31</v>
      </c>
      <c r="C1" s="1" t="s">
        <v>32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:properties xmlns:p="http://schemas.microsoft.com/office/2006/metadata/properties" xmlns:xsi="http://www.w3.org/2001/XMLSchema-instance">
  <documentManagement>
    <ContentTypeId xmlns="http://schemas.microsoft.com/sharepoint/v3">0x00B1E9F3E0B627894EBC19A69D818F2C4C</ContentTypeId>
    <_SourceUrl xmlns="http://schemas.microsoft.com/sharepoint/v3" xsi:nil="true"/>
    <AutoVersionDisabled xmlns="http://schemas.microsoft.com/sharepoint/v3">false</AutoVersionDisabled>
    <ItemType xmlns="http://schemas.microsoft.com/sharepoint/v3">1</ItemType>
    <Order xmlns="http://schemas.microsoft.com/sharepoint/v3" xsi:nil="true"/>
    <_SharedFileIndex xmlns="http://schemas.microsoft.com/sharepoint/v3" xsi:nil="true"/>
    <MetaInfo xmlns="http://schemas.microsoft.com/sharepoint/v3" xsi:nil="true"/>
    <Description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_Docs_" ma:contentTypeID="0x00B1E9F3E0B627894EBC19A69D818F2C4C" ma:contentTypeVersion="" ma:contentTypeDescription="" ma:contentTypeScope="" ma:versionID="2a1f117e3a12f17ea6140b9776d491be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3e5d9eca856144ce6ca1da655f95619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ID" minOccurs="0"/>
                <xsd:element ref="ns1:ContentType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_ModerationComment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File_x0020_Type" minOccurs="0"/>
                <xsd:element ref="ns1:HTML_x0020_File_x0020_Type" minOccurs="0"/>
                <xsd:element ref="ns1:_SourceUrl" minOccurs="0"/>
                <xsd:element ref="ns1:_SharedFileIndex" minOccurs="0"/>
                <xsd:element ref="ns1:MetaInfo" minOccurs="0"/>
                <xsd:element ref="ns1:_Level" minOccurs="0"/>
                <xsd:element ref="ns1:_IsCurrentVersion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AutoVersionDisabled" minOccurs="0"/>
                <xsd:element ref="ns1:ItemType" minOccurs="0"/>
                <xsd:element ref="ns1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ID" ma:index="0" nillable="true" ma:displayName="ID" ma:internalName="ID" ma:readOnly="true">
      <xsd:simpleType>
        <xsd:restriction base="dms:Unknown"/>
      </xsd:simpleType>
    </xsd:element>
    <xsd:element name="ContentTypeId" ma:index="1" nillable="true" ma:displayName="Content Type ID" ma:hidden="true" ma:internalName="ContentTypeId" ma:readOnly="true">
      <xsd:simpleType>
        <xsd:restriction base="dms:Unknown"/>
      </xsd:simpleType>
    </xsd:element>
    <xsd:element name="Author" ma:index="4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6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7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8" nillable="true" ma:displayName="Copy Source" ma:internalName="_CopySource" ma:readOnly="true">
      <xsd:simpleType>
        <xsd:restriction base="dms:Text"/>
      </xsd:simpleType>
    </xsd:element>
    <xsd:element name="_ModerationStatus" ma:index="9" nillable="true" ma:displayName="Approval Status" ma:default="0" ma:hidden="true" ma:internalName="_ModerationStatus" ma:readOnly="true">
      <xsd:simpleType>
        <xsd:restriction base="dms:Unknown"/>
      </xsd:simpleType>
    </xsd:element>
    <xsd:element name="_ModerationComments" ma:index="10" nillable="true" ma:displayName="Approver Comments" ma:hidden="true" ma:internalName="_ModerationComments" ma:readOnly="true">
      <xsd:simpleType>
        <xsd:restriction base="dms:Note"/>
      </xsd:simpleType>
    </xsd:element>
    <xsd:element name="FileRef" ma:index="11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12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13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14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15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16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CheckedOutUserId" ma:index="18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19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20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22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ProgId" ma:index="23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24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25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26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27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File_x0020_Type" ma:index="31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32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3" nillable="true" ma:displayName="Source Url" ma:hidden="true" ma:internalName="_SourceUrl">
      <xsd:simpleType>
        <xsd:restriction base="dms:Text"/>
      </xsd:simpleType>
    </xsd:element>
    <xsd:element name="_SharedFileIndex" ma:index="34" nillable="true" ma:displayName="Shared File Index" ma:hidden="true" ma:internalName="_SharedFileIndex">
      <xsd:simpleType>
        <xsd:restriction base="dms:Text"/>
      </xsd:simpleType>
    </xsd:element>
    <xsd:element name="MetaInfo" ma:index="44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45" nillable="true" ma:displayName="Level" ma:hidden="true" ma:internalName="_Level" ma:readOnly="true">
      <xsd:simpleType>
        <xsd:restriction base="dms:Unknown"/>
      </xsd:simpleType>
    </xsd:element>
    <xsd:element name="_IsCurrentVersion" ma:index="46" nillable="true" ma:displayName="Is Current Version" ma:hidden="true" ma:internalName="_IsCurrentVersion" ma:readOnly="true">
      <xsd:simpleType>
        <xsd:restriction base="dms:Boolean"/>
      </xsd:simpleType>
    </xsd:element>
    <xsd:element name="owshiddenversion" ma:index="50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51" nillable="true" ma:displayName="UI Version" ma:hidden="true" ma:internalName="_UIVersion" ma:readOnly="true">
      <xsd:simpleType>
        <xsd:restriction base="dms:Unknown"/>
      </xsd:simpleType>
    </xsd:element>
    <xsd:element name="_UIVersionString" ma:index="52" nillable="true" ma:displayName="Version" ma:internalName="_UIVersionString" ma:readOnly="true">
      <xsd:simpleType>
        <xsd:restriction base="dms:Text"/>
      </xsd:simpleType>
    </xsd:element>
    <xsd:element name="InstanceID" ma:index="53" nillable="true" ma:displayName="Instance ID" ma:hidden="true" ma:internalName="InstanceID" ma:readOnly="true">
      <xsd:simpleType>
        <xsd:restriction base="dms:Unknown"/>
      </xsd:simpleType>
    </xsd:element>
    <xsd:element name="Order" ma:index="54" nillable="true" ma:displayName="Order" ma:hidden="true" ma:internalName="Order">
      <xsd:simpleType>
        <xsd:restriction base="dms:Number"/>
      </xsd:simpleType>
    </xsd:element>
    <xsd:element name="GUID" ma:index="55" nillable="true" ma:displayName="GUID" ma:hidden="true" ma:internalName="GUID" ma:readOnly="true">
      <xsd:simpleType>
        <xsd:restriction base="dms:Unknown"/>
      </xsd:simpleType>
    </xsd:element>
    <xsd:element name="WorkflowVersion" ma:index="56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57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58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59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AutoVersionDisabled" ma:index="60" nillable="true" ma:displayName="AutoVersionDisabled" ma:default="FALSE" ma:hidden="true" ma:internalName="AutoVersionDisabled">
      <xsd:simpleType>
        <xsd:restriction base="dms:Boolean"/>
      </xsd:simpleType>
    </xsd:element>
    <xsd:element name="ItemType" ma:index="61" nillable="true" ma:displayName="ItemType" ma:default="1" ma:hidden="true" ma:internalName="ItemType">
      <xsd:simpleType>
        <xsd:restriction base="dms:Unknown"/>
      </xsd:simpleType>
    </xsd:element>
    <xsd:element name="Description" ma:index="62" nillable="true" ma:displayName="Description" ma:hidden="true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" ma:displayName="Content Type" ma:readOnly="tru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097AE84A-A25A-48BC-89F4-3A79C66C2714}">
  <ds:schemaRefs>
    <ds:schemaRef ds:uri="http://schemas.microsoft.com/office/2006/metadata/properties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84918530-C602-4F23-AD77-05A1AB9694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New Data</vt:lpstr>
      <vt:lpstr>Financial Highlight</vt:lpstr>
      <vt:lpstr>Financial Ratio</vt:lpstr>
      <vt:lpstr>Balance Sheet</vt:lpstr>
      <vt:lpstr>Income Statement</vt:lpstr>
      <vt:lpstr>Cash Flow Statement</vt:lpstr>
      <vt:lpstr>Temp</vt:lpstr>
      <vt:lpstr>ItemLookup</vt:lpstr>
      <vt:lpstr>'Financial Highlight'!Print_Area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Fookmi</dc:creator>
  <cp:lastModifiedBy>AnaTo</cp:lastModifiedBy>
  <dcterms:created xsi:type="dcterms:W3CDTF">2010-07-08T15:18:46Z</dcterms:created>
  <dcterms:modified xsi:type="dcterms:W3CDTF">2013-08-01T05:42:55Z</dcterms:modified>
</cp:coreProperties>
</file>